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customXml/itemProps2.xml" ContentType="application/vnd.openxmlformats-officedocument.customXmlProperties+xml"/>
  <Override PartName="/xl/theme/theme1.xml" ContentType="application/vnd.openxmlformats-officedocument.theme+xml"/>
  <Override PartName="/xl/styles.xml" ContentType="application/vnd.openxmlformats-officedocument.spreadsheetml.styles+xml"/>
  <Override PartName="/customXml/itemProps1.xml" ContentType="application/vnd.openxmlformats-officedocument.customXmlProperti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bookViews>
    <workbookView xWindow="0" yWindow="120" windowWidth="19155" windowHeight="11760"/>
  </bookViews>
  <sheets>
    <sheet name="Ordered by Points Scored" sheetId="1" r:id="rId1"/>
    <sheet name="Ordered by Value" sheetId="4" r:id="rId2"/>
    <sheet name="Ordered by Popularity" sheetId="6" r:id="rId3"/>
  </sheets>
  <functionGroups/>
  <definedNames>
    <definedName name="solver_adj" localSheetId="0" hidden="1">'Ordered by Points Scored'!$A$155:$E$410</definedName>
    <definedName name="solver_adj" localSheetId="2" hidden="1">'Ordered by Popularity'!$A$332:$E$410</definedName>
    <definedName name="solver_adj" localSheetId="1" hidden="1">'Ordered by Value'!$A$155:$E$410</definedName>
    <definedName name="solver_cvg" localSheetId="0" hidden="1">0.0001</definedName>
    <definedName name="solver_cvg" localSheetId="2" hidden="1">0.0001</definedName>
    <definedName name="solver_cvg" localSheetId="1" hidden="1">0.0001</definedName>
    <definedName name="solver_drv" localSheetId="0" hidden="1">1</definedName>
    <definedName name="solver_drv" localSheetId="2" hidden="1">1</definedName>
    <definedName name="solver_drv" localSheetId="1" hidden="1">1</definedName>
    <definedName name="solver_est" localSheetId="0" hidden="1">1</definedName>
    <definedName name="solver_est" localSheetId="2" hidden="1">1</definedName>
    <definedName name="solver_est" localSheetId="1" hidden="1">1</definedName>
    <definedName name="solver_itr" localSheetId="0" hidden="1">100</definedName>
    <definedName name="solver_itr" localSheetId="2" hidden="1">100</definedName>
    <definedName name="solver_itr" localSheetId="1" hidden="1">100</definedName>
    <definedName name="solver_lhs1" localSheetId="0" hidden="1">'Ordered by Points Scored'!$G$5</definedName>
    <definedName name="solver_lhs1" localSheetId="2" hidden="1">'Ordered by Popularity'!$G$5</definedName>
    <definedName name="solver_lhs1" localSheetId="1" hidden="1">'Ordered by Value'!$G$5</definedName>
    <definedName name="solver_lhs10" localSheetId="0" hidden="1">'Ordered by Points Scored'!$G$13</definedName>
    <definedName name="solver_lhs10" localSheetId="2" hidden="1">'Ordered by Popularity'!$G$15</definedName>
    <definedName name="solver_lhs10" localSheetId="1" hidden="1">'Ordered by Value'!$G$15</definedName>
    <definedName name="solver_lhs11" localSheetId="0" hidden="1">'Ordered by Points Scored'!$G$14</definedName>
    <definedName name="solver_lhs11" localSheetId="2" hidden="1">'Ordered by Popularity'!$G$16</definedName>
    <definedName name="solver_lhs11" localSheetId="1" hidden="1">'Ordered by Value'!$G$16</definedName>
    <definedName name="solver_lhs12" localSheetId="0" hidden="1">'Ordered by Points Scored'!$G$15</definedName>
    <definedName name="solver_lhs12" localSheetId="2" hidden="1">'Ordered by Popularity'!$G$17</definedName>
    <definedName name="solver_lhs12" localSheetId="1" hidden="1">'Ordered by Value'!$G$17</definedName>
    <definedName name="solver_lhs13" localSheetId="0" hidden="1">'Ordered by Points Scored'!$G$16</definedName>
    <definedName name="solver_lhs13" localSheetId="2" hidden="1">'Ordered by Popularity'!$G$18</definedName>
    <definedName name="solver_lhs13" localSheetId="1" hidden="1">'Ordered by Value'!$G$18</definedName>
    <definedName name="solver_lhs14" localSheetId="0" hidden="1">'Ordered by Points Scored'!$G$17</definedName>
    <definedName name="solver_lhs14" localSheetId="2" hidden="1">'Ordered by Popularity'!$G$19</definedName>
    <definedName name="solver_lhs14" localSheetId="1" hidden="1">'Ordered by Value'!$G$19</definedName>
    <definedName name="solver_lhs15" localSheetId="0" hidden="1">'Ordered by Points Scored'!$G$18</definedName>
    <definedName name="solver_lhs15" localSheetId="2" hidden="1">'Ordered by Popularity'!$G$20</definedName>
    <definedName name="solver_lhs15" localSheetId="1" hidden="1">'Ordered by Value'!$G$20</definedName>
    <definedName name="solver_lhs16" localSheetId="0" hidden="1">'Ordered by Points Scored'!$G$19</definedName>
    <definedName name="solver_lhs16" localSheetId="2" hidden="1">'Ordered by Popularity'!$G$21</definedName>
    <definedName name="solver_lhs16" localSheetId="1" hidden="1">'Ordered by Value'!$G$21</definedName>
    <definedName name="solver_lhs17" localSheetId="0" hidden="1">'Ordered by Points Scored'!$G$20</definedName>
    <definedName name="solver_lhs17" localSheetId="2" hidden="1">'Ordered by Popularity'!$G$22</definedName>
    <definedName name="solver_lhs17" localSheetId="1" hidden="1">'Ordered by Value'!$G$22</definedName>
    <definedName name="solver_lhs18" localSheetId="0" hidden="1">'Ordered by Points Scored'!$G$23</definedName>
    <definedName name="solver_lhs18" localSheetId="2" hidden="1">'Ordered by Popularity'!$G$23</definedName>
    <definedName name="solver_lhs18" localSheetId="1" hidden="1">'Ordered by Value'!$G$23</definedName>
    <definedName name="solver_lhs19" localSheetId="0" hidden="1">'Ordered by Points Scored'!$G$24</definedName>
    <definedName name="solver_lhs19" localSheetId="2" hidden="1">'Ordered by Popularity'!$G$24</definedName>
    <definedName name="solver_lhs19" localSheetId="1" hidden="1">'Ordered by Value'!$G$24</definedName>
    <definedName name="solver_lhs2" localSheetId="0" hidden="1">'Ordered by Points Scored'!$G$6</definedName>
    <definedName name="solver_lhs2" localSheetId="2" hidden="1">'Ordered by Popularity'!$G$6</definedName>
    <definedName name="solver_lhs2" localSheetId="1" hidden="1">'Ordered by Value'!$G$6</definedName>
    <definedName name="solver_lhs20" localSheetId="0" hidden="1">'Ordered by Points Scored'!$G$25</definedName>
    <definedName name="solver_lhs20" localSheetId="2" hidden="1">'Ordered by Popularity'!$G$25</definedName>
    <definedName name="solver_lhs20" localSheetId="1" hidden="1">'Ordered by Value'!$G$25</definedName>
    <definedName name="solver_lhs21" localSheetId="0" hidden="1">'Ordered by Points Scored'!$G$26</definedName>
    <definedName name="solver_lhs21" localSheetId="2" hidden="1">'Ordered by Popularity'!$G$26</definedName>
    <definedName name="solver_lhs21" localSheetId="1" hidden="1">'Ordered by Value'!$G$26</definedName>
    <definedName name="solver_lhs22" localSheetId="0" hidden="1">'Ordered by Points Scored'!#REF!</definedName>
    <definedName name="solver_lhs22" localSheetId="2" hidden="1">'Ordered by Popularity'!$G$29</definedName>
    <definedName name="solver_lhs22" localSheetId="1" hidden="1">'Ordered by Value'!$G$29</definedName>
    <definedName name="solver_lhs23" localSheetId="0" hidden="1">'Ordered by Points Scored'!$G$27</definedName>
    <definedName name="solver_lhs23" localSheetId="2" hidden="1">'Ordered by Popularity'!$G$27</definedName>
    <definedName name="solver_lhs23" localSheetId="1" hidden="1">'Ordered by Value'!$G$27</definedName>
    <definedName name="solver_lhs24" localSheetId="0" hidden="1">'Ordered by Points Scored'!$G$29</definedName>
    <definedName name="solver_lhs24" localSheetId="2" hidden="1">'Ordered by Popularity'!$G$28</definedName>
    <definedName name="solver_lhs24" localSheetId="1" hidden="1">'Ordered by Value'!$G$28</definedName>
    <definedName name="solver_lhs25" localSheetId="0" hidden="1">'Ordered by Points Scored'!$G$4</definedName>
    <definedName name="solver_lhs25" localSheetId="2" hidden="1">'Ordered by Popularity'!$G$4</definedName>
    <definedName name="solver_lhs25" localSheetId="1" hidden="1">'Ordered by Value'!$G$4</definedName>
    <definedName name="solver_lhs3" localSheetId="0" hidden="1">'Ordered by Points Scored'!$G$7</definedName>
    <definedName name="solver_lhs3" localSheetId="2" hidden="1">'Ordered by Popularity'!$G$7</definedName>
    <definedName name="solver_lhs3" localSheetId="1" hidden="1">'Ordered by Value'!$G$7</definedName>
    <definedName name="solver_lhs4" localSheetId="0" hidden="1">'Ordered by Points Scored'!$G$8</definedName>
    <definedName name="solver_lhs4" localSheetId="2" hidden="1">'Ordered by Popularity'!$G$8</definedName>
    <definedName name="solver_lhs4" localSheetId="1" hidden="1">'Ordered by Value'!$G$8</definedName>
    <definedName name="solver_lhs5" localSheetId="0" hidden="1">'Ordered by Points Scored'!$G$10</definedName>
    <definedName name="solver_lhs5" localSheetId="2" hidden="1">'Ordered by Popularity'!$G$10</definedName>
    <definedName name="solver_lhs5" localSheetId="1" hidden="1">'Ordered by Value'!$G$10</definedName>
    <definedName name="solver_lhs6" localSheetId="0" hidden="1">'Ordered by Points Scored'!$G$11</definedName>
    <definedName name="solver_lhs6" localSheetId="2" hidden="1">'Ordered by Popularity'!$G$11</definedName>
    <definedName name="solver_lhs6" localSheetId="1" hidden="1">'Ordered by Value'!$G$11</definedName>
    <definedName name="solver_lhs7" localSheetId="0" hidden="1">'Ordered by Points Scored'!#REF!</definedName>
    <definedName name="solver_lhs7" localSheetId="2" hidden="1">'Ordered by Popularity'!$G$12</definedName>
    <definedName name="solver_lhs7" localSheetId="1" hidden="1">'Ordered by Value'!$G$12</definedName>
    <definedName name="solver_lhs8" localSheetId="0" hidden="1">'Ordered by Points Scored'!#REF!</definedName>
    <definedName name="solver_lhs8" localSheetId="2" hidden="1">'Ordered by Popularity'!$G$13</definedName>
    <definedName name="solver_lhs8" localSheetId="1" hidden="1">'Ordered by Value'!$G$13</definedName>
    <definedName name="solver_lhs9" localSheetId="0" hidden="1">'Ordered by Points Scored'!$G$12</definedName>
    <definedName name="solver_lhs9" localSheetId="2" hidden="1">'Ordered by Popularity'!$G$14</definedName>
    <definedName name="solver_lhs9" localSheetId="1" hidden="1">'Ordered by Value'!$G$14</definedName>
    <definedName name="solver_lin" localSheetId="0" hidden="1">2</definedName>
    <definedName name="solver_lin" localSheetId="2" hidden="1">2</definedName>
    <definedName name="solver_lin" localSheetId="1" hidden="1">2</definedName>
    <definedName name="solver_neg" localSheetId="0" hidden="1">2</definedName>
    <definedName name="solver_neg" localSheetId="2" hidden="1">2</definedName>
    <definedName name="solver_neg" localSheetId="1" hidden="1">2</definedName>
    <definedName name="solver_num" localSheetId="0" hidden="1">25</definedName>
    <definedName name="solver_num" localSheetId="2" hidden="1">25</definedName>
    <definedName name="solver_num" localSheetId="1" hidden="1">25</definedName>
    <definedName name="solver_nwt" localSheetId="0" hidden="1">1</definedName>
    <definedName name="solver_nwt" localSheetId="2" hidden="1">1</definedName>
    <definedName name="solver_nwt" localSheetId="1" hidden="1">1</definedName>
    <definedName name="solver_opt" localSheetId="0" hidden="1">'Ordered by Points Scored'!$G$3</definedName>
    <definedName name="solver_opt" localSheetId="2" hidden="1">'Ordered by Popularity'!$G$3</definedName>
    <definedName name="solver_opt" localSheetId="1" hidden="1">'Ordered by Value'!$G$3</definedName>
    <definedName name="solver_pre" localSheetId="0" hidden="1">0.000001</definedName>
    <definedName name="solver_pre" localSheetId="2" hidden="1">0.000001</definedName>
    <definedName name="solver_pre" localSheetId="1" hidden="1">0.000001</definedName>
    <definedName name="solver_rel1" localSheetId="0" hidden="1">2</definedName>
    <definedName name="solver_rel1" localSheetId="2" hidden="1">2</definedName>
    <definedName name="solver_rel1" localSheetId="1" hidden="1">2</definedName>
    <definedName name="solver_rel10" localSheetId="0" hidden="1">1</definedName>
    <definedName name="solver_rel10" localSheetId="2" hidden="1">1</definedName>
    <definedName name="solver_rel10" localSheetId="1" hidden="1">1</definedName>
    <definedName name="solver_rel11" localSheetId="0" hidden="1">1</definedName>
    <definedName name="solver_rel11" localSheetId="2" hidden="1">1</definedName>
    <definedName name="solver_rel11" localSheetId="1" hidden="1">1</definedName>
    <definedName name="solver_rel12" localSheetId="0" hidden="1">1</definedName>
    <definedName name="solver_rel12" localSheetId="2" hidden="1">1</definedName>
    <definedName name="solver_rel12" localSheetId="1" hidden="1">1</definedName>
    <definedName name="solver_rel13" localSheetId="0" hidden="1">1</definedName>
    <definedName name="solver_rel13" localSheetId="2" hidden="1">1</definedName>
    <definedName name="solver_rel13" localSheetId="1" hidden="1">1</definedName>
    <definedName name="solver_rel14" localSheetId="0" hidden="1">1</definedName>
    <definedName name="solver_rel14" localSheetId="2" hidden="1">1</definedName>
    <definedName name="solver_rel14" localSheetId="1" hidden="1">1</definedName>
    <definedName name="solver_rel15" localSheetId="0" hidden="1">1</definedName>
    <definedName name="solver_rel15" localSheetId="2" hidden="1">1</definedName>
    <definedName name="solver_rel15" localSheetId="1" hidden="1">1</definedName>
    <definedName name="solver_rel16" localSheetId="0" hidden="1">1</definedName>
    <definedName name="solver_rel16" localSheetId="2" hidden="1">1</definedName>
    <definedName name="solver_rel16" localSheetId="1" hidden="1">1</definedName>
    <definedName name="solver_rel17" localSheetId="0" hidden="1">1</definedName>
    <definedName name="solver_rel17" localSheetId="2" hidden="1">1</definedName>
    <definedName name="solver_rel17" localSheetId="1" hidden="1">1</definedName>
    <definedName name="solver_rel18" localSheetId="0" hidden="1">1</definedName>
    <definedName name="solver_rel18" localSheetId="2" hidden="1">1</definedName>
    <definedName name="solver_rel18" localSheetId="1" hidden="1">1</definedName>
    <definedName name="solver_rel19" localSheetId="0" hidden="1">1</definedName>
    <definedName name="solver_rel19" localSheetId="2" hidden="1">1</definedName>
    <definedName name="solver_rel19" localSheetId="1" hidden="1">1</definedName>
    <definedName name="solver_rel2" localSheetId="0" hidden="1">2</definedName>
    <definedName name="solver_rel2" localSheetId="2" hidden="1">2</definedName>
    <definedName name="solver_rel2" localSheetId="1" hidden="1">2</definedName>
    <definedName name="solver_rel20" localSheetId="0" hidden="1">1</definedName>
    <definedName name="solver_rel20" localSheetId="2" hidden="1">1</definedName>
    <definedName name="solver_rel20" localSheetId="1" hidden="1">1</definedName>
    <definedName name="solver_rel21" localSheetId="0" hidden="1">1</definedName>
    <definedName name="solver_rel21" localSheetId="2" hidden="1">1</definedName>
    <definedName name="solver_rel21" localSheetId="1" hidden="1">1</definedName>
    <definedName name="solver_rel22" localSheetId="0" hidden="1">1</definedName>
    <definedName name="solver_rel22" localSheetId="2" hidden="1">1</definedName>
    <definedName name="solver_rel22" localSheetId="1" hidden="1">1</definedName>
    <definedName name="solver_rel23" localSheetId="0" hidden="1">1</definedName>
    <definedName name="solver_rel23" localSheetId="2" hidden="1">1</definedName>
    <definedName name="solver_rel23" localSheetId="1" hidden="1">1</definedName>
    <definedName name="solver_rel24" localSheetId="0" hidden="1">1</definedName>
    <definedName name="solver_rel24" localSheetId="2" hidden="1">1</definedName>
    <definedName name="solver_rel24" localSheetId="1" hidden="1">1</definedName>
    <definedName name="solver_rel25" localSheetId="0" hidden="1">1</definedName>
    <definedName name="solver_rel25" localSheetId="2" hidden="1">1</definedName>
    <definedName name="solver_rel25" localSheetId="1" hidden="1">1</definedName>
    <definedName name="solver_rel3" localSheetId="0" hidden="1">2</definedName>
    <definedName name="solver_rel3" localSheetId="2" hidden="1">2</definedName>
    <definedName name="solver_rel3" localSheetId="1" hidden="1">2</definedName>
    <definedName name="solver_rel4" localSheetId="0" hidden="1">2</definedName>
    <definedName name="solver_rel4" localSheetId="2" hidden="1">2</definedName>
    <definedName name="solver_rel4" localSheetId="1" hidden="1">2</definedName>
    <definedName name="solver_rel5" localSheetId="0" hidden="1">1</definedName>
    <definedName name="solver_rel5" localSheetId="2" hidden="1">1</definedName>
    <definedName name="solver_rel5" localSheetId="1" hidden="1">1</definedName>
    <definedName name="solver_rel6" localSheetId="0" hidden="1">1</definedName>
    <definedName name="solver_rel6" localSheetId="2" hidden="1">1</definedName>
    <definedName name="solver_rel6" localSheetId="1" hidden="1">1</definedName>
    <definedName name="solver_rel7" localSheetId="0" hidden="1">1</definedName>
    <definedName name="solver_rel7" localSheetId="2" hidden="1">1</definedName>
    <definedName name="solver_rel7" localSheetId="1" hidden="1">1</definedName>
    <definedName name="solver_rel8" localSheetId="0" hidden="1">1</definedName>
    <definedName name="solver_rel8" localSheetId="2" hidden="1">1</definedName>
    <definedName name="solver_rel8" localSheetId="1" hidden="1">1</definedName>
    <definedName name="solver_rel9" localSheetId="0" hidden="1">1</definedName>
    <definedName name="solver_rel9" localSheetId="2" hidden="1">1</definedName>
    <definedName name="solver_rel9" localSheetId="1" hidden="1">1</definedName>
    <definedName name="solver_rhs1" localSheetId="0" hidden="1">2</definedName>
    <definedName name="solver_rhs1" localSheetId="2" hidden="1">2</definedName>
    <definedName name="solver_rhs1" localSheetId="1" hidden="1">2</definedName>
    <definedName name="solver_rhs10" localSheetId="0" hidden="1">3</definedName>
    <definedName name="solver_rhs10" localSheetId="2" hidden="1">3</definedName>
    <definedName name="solver_rhs10" localSheetId="1" hidden="1">3</definedName>
    <definedName name="solver_rhs11" localSheetId="0" hidden="1">3</definedName>
    <definedName name="solver_rhs11" localSheetId="2" hidden="1">3</definedName>
    <definedName name="solver_rhs11" localSheetId="1" hidden="1">3</definedName>
    <definedName name="solver_rhs12" localSheetId="0" hidden="1">3</definedName>
    <definedName name="solver_rhs12" localSheetId="2" hidden="1">3</definedName>
    <definedName name="solver_rhs12" localSheetId="1" hidden="1">3</definedName>
    <definedName name="solver_rhs13" localSheetId="0" hidden="1">3</definedName>
    <definedName name="solver_rhs13" localSheetId="2" hidden="1">3</definedName>
    <definedName name="solver_rhs13" localSheetId="1" hidden="1">3</definedName>
    <definedName name="solver_rhs14" localSheetId="0" hidden="1">3</definedName>
    <definedName name="solver_rhs14" localSheetId="2" hidden="1">3</definedName>
    <definedName name="solver_rhs14" localSheetId="1" hidden="1">3</definedName>
    <definedName name="solver_rhs15" localSheetId="0" hidden="1">3</definedName>
    <definedName name="solver_rhs15" localSheetId="2" hidden="1">3</definedName>
    <definedName name="solver_rhs15" localSheetId="1" hidden="1">3</definedName>
    <definedName name="solver_rhs16" localSheetId="0" hidden="1">3</definedName>
    <definedName name="solver_rhs16" localSheetId="2" hidden="1">3</definedName>
    <definedName name="solver_rhs16" localSheetId="1" hidden="1">3</definedName>
    <definedName name="solver_rhs17" localSheetId="0" hidden="1">3</definedName>
    <definedName name="solver_rhs17" localSheetId="2" hidden="1">3</definedName>
    <definedName name="solver_rhs17" localSheetId="1" hidden="1">3</definedName>
    <definedName name="solver_rhs18" localSheetId="0" hidden="1">3</definedName>
    <definedName name="solver_rhs18" localSheetId="2" hidden="1">3</definedName>
    <definedName name="solver_rhs18" localSheetId="1" hidden="1">3</definedName>
    <definedName name="solver_rhs19" localSheetId="0" hidden="1">3</definedName>
    <definedName name="solver_rhs19" localSheetId="2" hidden="1">3</definedName>
    <definedName name="solver_rhs19" localSheetId="1" hidden="1">3</definedName>
    <definedName name="solver_rhs2" localSheetId="0" hidden="1">5</definedName>
    <definedName name="solver_rhs2" localSheetId="2" hidden="1">5</definedName>
    <definedName name="solver_rhs2" localSheetId="1" hidden="1">5</definedName>
    <definedName name="solver_rhs20" localSheetId="0" hidden="1">3</definedName>
    <definedName name="solver_rhs20" localSheetId="2" hidden="1">3</definedName>
    <definedName name="solver_rhs20" localSheetId="1" hidden="1">3</definedName>
    <definedName name="solver_rhs21" localSheetId="0" hidden="1">3</definedName>
    <definedName name="solver_rhs21" localSheetId="2" hidden="1">3</definedName>
    <definedName name="solver_rhs21" localSheetId="1" hidden="1">3</definedName>
    <definedName name="solver_rhs22" localSheetId="0" hidden="1">3</definedName>
    <definedName name="solver_rhs22" localSheetId="2" hidden="1">3</definedName>
    <definedName name="solver_rhs22" localSheetId="1" hidden="1">3</definedName>
    <definedName name="solver_rhs23" localSheetId="0" hidden="1">3</definedName>
    <definedName name="solver_rhs23" localSheetId="2" hidden="1">3</definedName>
    <definedName name="solver_rhs23" localSheetId="1" hidden="1">3</definedName>
    <definedName name="solver_rhs24" localSheetId="0" hidden="1">3</definedName>
    <definedName name="solver_rhs24" localSheetId="2" hidden="1">3</definedName>
    <definedName name="solver_rhs24" localSheetId="1" hidden="1">3</definedName>
    <definedName name="solver_rhs25" localSheetId="0" hidden="1">100</definedName>
    <definedName name="solver_rhs25" localSheetId="2" hidden="1">100</definedName>
    <definedName name="solver_rhs25" localSheetId="1" hidden="1">100</definedName>
    <definedName name="solver_rhs3" localSheetId="0" hidden="1">5</definedName>
    <definedName name="solver_rhs3" localSheetId="2" hidden="1">5</definedName>
    <definedName name="solver_rhs3" localSheetId="1" hidden="1">5</definedName>
    <definedName name="solver_rhs4" localSheetId="0" hidden="1">3</definedName>
    <definedName name="solver_rhs4" localSheetId="2" hidden="1">3</definedName>
    <definedName name="solver_rhs4" localSheetId="1" hidden="1">3</definedName>
    <definedName name="solver_rhs5" localSheetId="0" hidden="1">3</definedName>
    <definedName name="solver_rhs5" localSheetId="2" hidden="1">3</definedName>
    <definedName name="solver_rhs5" localSheetId="1" hidden="1">3</definedName>
    <definedName name="solver_rhs6" localSheetId="0" hidden="1">3</definedName>
    <definedName name="solver_rhs6" localSheetId="2" hidden="1">3</definedName>
    <definedName name="solver_rhs6" localSheetId="1" hidden="1">3</definedName>
    <definedName name="solver_rhs7" localSheetId="0" hidden="1">3</definedName>
    <definedName name="solver_rhs7" localSheetId="2" hidden="1">3</definedName>
    <definedName name="solver_rhs7" localSheetId="1" hidden="1">3</definedName>
    <definedName name="solver_rhs8" localSheetId="0" hidden="1">3</definedName>
    <definedName name="solver_rhs8" localSheetId="2" hidden="1">3</definedName>
    <definedName name="solver_rhs8" localSheetId="1" hidden="1">3</definedName>
    <definedName name="solver_rhs9" localSheetId="0" hidden="1">3</definedName>
    <definedName name="solver_rhs9" localSheetId="2" hidden="1">3</definedName>
    <definedName name="solver_rhs9" localSheetId="1" hidden="1">3</definedName>
    <definedName name="solver_scl" localSheetId="0" hidden="1">2</definedName>
    <definedName name="solver_scl" localSheetId="2" hidden="1">2</definedName>
    <definedName name="solver_scl" localSheetId="1" hidden="1">2</definedName>
    <definedName name="solver_sho" localSheetId="0" hidden="1">2</definedName>
    <definedName name="solver_sho" localSheetId="2" hidden="1">2</definedName>
    <definedName name="solver_sho" localSheetId="1" hidden="1">2</definedName>
    <definedName name="solver_tim" localSheetId="0" hidden="1">100</definedName>
    <definedName name="solver_tim" localSheetId="2" hidden="1">100</definedName>
    <definedName name="solver_tim" localSheetId="1" hidden="1">100</definedName>
    <definedName name="solver_tol" localSheetId="0" hidden="1">0.05</definedName>
    <definedName name="solver_tol" localSheetId="2" hidden="1">0.05</definedName>
    <definedName name="solver_tol" localSheetId="1" hidden="1">0.05</definedName>
    <definedName name="solver_typ" localSheetId="0" hidden="1">1</definedName>
    <definedName name="solver_typ" localSheetId="2" hidden="1">1</definedName>
    <definedName name="solver_typ" localSheetId="1" hidden="1">1</definedName>
    <definedName name="solver_val" localSheetId="0" hidden="1">0</definedName>
    <definedName name="solver_val" localSheetId="2" hidden="1">0</definedName>
    <definedName name="solver_val" localSheetId="1" hidden="1">0</definedName>
  </definedNames>
  <calcPr calcId="125725"/>
</workbook>
</file>

<file path=xl/calcChain.xml><?xml version="1.0" encoding="utf-8"?>
<calcChain xmlns="http://schemas.openxmlformats.org/spreadsheetml/2006/main">
  <c r="G29" i="6"/>
  <c r="G28"/>
  <c r="G27"/>
  <c r="G26"/>
  <c r="G25"/>
  <c r="G24"/>
  <c r="G23"/>
  <c r="G22"/>
  <c r="G21"/>
  <c r="G20"/>
  <c r="G19"/>
  <c r="G18"/>
  <c r="G17"/>
  <c r="G16"/>
  <c r="G15"/>
  <c r="G14"/>
  <c r="G13"/>
  <c r="G12"/>
  <c r="G11"/>
  <c r="G10"/>
  <c r="G29" i="4"/>
  <c r="G28"/>
  <c r="G27"/>
  <c r="G26"/>
  <c r="G25"/>
  <c r="G24"/>
  <c r="G23"/>
  <c r="G22"/>
  <c r="G21"/>
  <c r="G20"/>
  <c r="G19"/>
  <c r="G18"/>
  <c r="G17"/>
  <c r="G16"/>
  <c r="G15"/>
  <c r="G14"/>
  <c r="G13"/>
  <c r="G12"/>
  <c r="G11"/>
  <c r="G10"/>
  <c r="G22" i="1"/>
  <c r="G21"/>
  <c r="G28"/>
  <c r="L17" i="6"/>
  <c r="K17"/>
  <c r="G8"/>
  <c r="G7"/>
  <c r="G6"/>
  <c r="G5"/>
  <c r="G4"/>
  <c r="G3"/>
  <c r="L17" i="4"/>
  <c r="K17"/>
  <c r="L17" i="1"/>
  <c r="K17"/>
  <c r="G8" i="4"/>
  <c r="G7"/>
  <c r="G6"/>
  <c r="G5"/>
  <c r="G4"/>
  <c r="G3"/>
  <c r="G29" i="1"/>
  <c r="G27"/>
  <c r="G26"/>
  <c r="G25"/>
  <c r="G20"/>
  <c r="G19"/>
  <c r="G18"/>
  <c r="G17"/>
  <c r="G16"/>
  <c r="G15"/>
  <c r="G14"/>
  <c r="G13"/>
  <c r="G12"/>
  <c r="G5"/>
  <c r="G6"/>
  <c r="G7"/>
  <c r="G24"/>
  <c r="G23"/>
  <c r="G11"/>
  <c r="G10"/>
  <c r="G3"/>
  <c r="G4"/>
  <c r="G8"/>
  <c r="G30" i="4" l="1"/>
  <c r="G30" i="6"/>
  <c r="G30" i="1"/>
</calcChain>
</file>

<file path=xl/sharedStrings.xml><?xml version="1.0" encoding="utf-8"?>
<sst xmlns="http://schemas.openxmlformats.org/spreadsheetml/2006/main" count="2499" uniqueCount="379">
  <si>
    <t>Chelsea</t>
  </si>
  <si>
    <t>Liverpool</t>
  </si>
  <si>
    <t>Man Utd</t>
  </si>
  <si>
    <t>Aston Villa</t>
  </si>
  <si>
    <t>Man City</t>
  </si>
  <si>
    <t>Arsenal</t>
  </si>
  <si>
    <t>Everton</t>
  </si>
  <si>
    <t>Tottenham</t>
  </si>
  <si>
    <t>Fulham</t>
  </si>
  <si>
    <t>Stoke City</t>
  </si>
  <si>
    <t>Newcastle</t>
  </si>
  <si>
    <t>Sunderland</t>
  </si>
  <si>
    <t>West Brom</t>
  </si>
  <si>
    <t>GK</t>
  </si>
  <si>
    <t>DF</t>
  </si>
  <si>
    <t>MF</t>
  </si>
  <si>
    <t>FW</t>
  </si>
  <si>
    <t>Score</t>
  </si>
  <si>
    <t>Price</t>
  </si>
  <si>
    <t>#GK</t>
  </si>
  <si>
    <t>#DF</t>
  </si>
  <si>
    <t>#MF</t>
  </si>
  <si>
    <t>#FW</t>
  </si>
  <si>
    <t>#Max</t>
  </si>
  <si>
    <t>Norwich</t>
  </si>
  <si>
    <t>Swansea</t>
  </si>
  <si>
    <t>http://www.lifebeyondfife.com/</t>
  </si>
  <si>
    <t>Hit the 'Esc' key a few times to halt Excel</t>
  </si>
  <si>
    <t>Totals:</t>
  </si>
  <si>
    <t>West Ham</t>
  </si>
  <si>
    <t>Southampton</t>
  </si>
  <si>
    <t>Van Persie</t>
  </si>
  <si>
    <t>Rooney</t>
  </si>
  <si>
    <t>Aguero</t>
  </si>
  <si>
    <t>Dempsey</t>
  </si>
  <si>
    <t>Bale</t>
  </si>
  <si>
    <t>Adebayor</t>
  </si>
  <si>
    <t>Silva</t>
  </si>
  <si>
    <t>Walcott</t>
  </si>
  <si>
    <t>Hart</t>
  </si>
  <si>
    <t>Ba</t>
  </si>
  <si>
    <t>Mata</t>
  </si>
  <si>
    <t>Sessegnon</t>
  </si>
  <si>
    <t>Evra</t>
  </si>
  <si>
    <t>Vorm</t>
  </si>
  <si>
    <t>Krul</t>
  </si>
  <si>
    <t>Friedel</t>
  </si>
  <si>
    <t>Howard</t>
  </si>
  <si>
    <t>Kompany</t>
  </si>
  <si>
    <t>Foster</t>
  </si>
  <si>
    <t>Walker</t>
  </si>
  <si>
    <t>Valencia</t>
  </si>
  <si>
    <t>Walters</t>
  </si>
  <si>
    <t>Szczesny</t>
  </si>
  <si>
    <t>Yaya Toure</t>
  </si>
  <si>
    <t>Terry</t>
  </si>
  <si>
    <t>Lampard</t>
  </si>
  <si>
    <t>Graham</t>
  </si>
  <si>
    <t>Suarez</t>
  </si>
  <si>
    <t>Dzeko</t>
  </si>
  <si>
    <t>Assou-Ekotto</t>
  </si>
  <si>
    <t>de Gea</t>
  </si>
  <si>
    <t>Baines</t>
  </si>
  <si>
    <t>Nasri</t>
  </si>
  <si>
    <t>Vermaelen</t>
  </si>
  <si>
    <t>Lescott</t>
  </si>
  <si>
    <t>Crouch</t>
  </si>
  <si>
    <t>Cabaye</t>
  </si>
  <si>
    <t>Arteta</t>
  </si>
  <si>
    <t>Larsson</t>
  </si>
  <si>
    <t>Sturridge</t>
  </si>
  <si>
    <t>Cech</t>
  </si>
  <si>
    <t>Williams</t>
  </si>
  <si>
    <t>Young</t>
  </si>
  <si>
    <t>Reina</t>
  </si>
  <si>
    <t>Dyer</t>
  </si>
  <si>
    <t>Mignolet</t>
  </si>
  <si>
    <t>Clichy</t>
  </si>
  <si>
    <t>Shawcross</t>
  </si>
  <si>
    <t>Riise</t>
  </si>
  <si>
    <t>Allen</t>
  </si>
  <si>
    <t>Schwarzer</t>
  </si>
  <si>
    <t>Jose Enrique</t>
  </si>
  <si>
    <t>Gutierrez</t>
  </si>
  <si>
    <t>Heitinga</t>
  </si>
  <si>
    <t>Odemwingie</t>
  </si>
  <si>
    <t>Skrtel</t>
  </si>
  <si>
    <t>Osman</t>
  </si>
  <si>
    <t>Pilkington</t>
  </si>
  <si>
    <t>Coloccini</t>
  </si>
  <si>
    <t>Taylor</t>
  </si>
  <si>
    <t>Agbonlahor</t>
  </si>
  <si>
    <t>Welbeck</t>
  </si>
  <si>
    <t>Ferdinand</t>
  </si>
  <si>
    <t>McAuley</t>
  </si>
  <si>
    <t>Jones</t>
  </si>
  <si>
    <t>Kaboul</t>
  </si>
  <si>
    <t>Jagielka</t>
  </si>
  <si>
    <t>Ramires</t>
  </si>
  <si>
    <t>Hernandez</t>
  </si>
  <si>
    <t>Olsson</t>
  </si>
  <si>
    <t>Ramsey</t>
  </si>
  <si>
    <t>Fellaini</t>
  </si>
  <si>
    <t>Cisse</t>
  </si>
  <si>
    <t>Hoolahan</t>
  </si>
  <si>
    <t>Brunt</t>
  </si>
  <si>
    <t>Koscielny</t>
  </si>
  <si>
    <t>Hangeland</t>
  </si>
  <si>
    <t>Rangel</t>
  </si>
  <si>
    <t>Sigurdsson</t>
  </si>
  <si>
    <t>Huth</t>
  </si>
  <si>
    <t>Adam</t>
  </si>
  <si>
    <t>Johnson</t>
  </si>
  <si>
    <t>McClean</t>
  </si>
  <si>
    <t>Morrison</t>
  </si>
  <si>
    <t>Ben Arfa</t>
  </si>
  <si>
    <t>Mulumbu</t>
  </si>
  <si>
    <t>Ruddy</t>
  </si>
  <si>
    <t>Carrick</t>
  </si>
  <si>
    <t>Long</t>
  </si>
  <si>
    <t>Given</t>
  </si>
  <si>
    <t>Agger</t>
  </si>
  <si>
    <t>Henderson</t>
  </si>
  <si>
    <t>Torres</t>
  </si>
  <si>
    <t>Defoe</t>
  </si>
  <si>
    <t>N'Zogbia</t>
  </si>
  <si>
    <t>Bent</t>
  </si>
  <si>
    <t>Caulker</t>
  </si>
  <si>
    <t>Lennon</t>
  </si>
  <si>
    <t>Figueroa</t>
  </si>
  <si>
    <t>Giggs</t>
  </si>
  <si>
    <t>Begovic</t>
  </si>
  <si>
    <t>Collins</t>
  </si>
  <si>
    <t>Sagna</t>
  </si>
  <si>
    <t>Gervinho</t>
  </si>
  <si>
    <t>Duff</t>
  </si>
  <si>
    <t>Dembele</t>
  </si>
  <si>
    <t>Milner</t>
  </si>
  <si>
    <t>Zabaleta</t>
  </si>
  <si>
    <t>O'Shea</t>
  </si>
  <si>
    <t>Colback</t>
  </si>
  <si>
    <t>Cahill</t>
  </si>
  <si>
    <t>Carroll</t>
  </si>
  <si>
    <t>Barry</t>
  </si>
  <si>
    <t>Pienaar</t>
  </si>
  <si>
    <t>Routledge</t>
  </si>
  <si>
    <t>Britton</t>
  </si>
  <si>
    <t>Ivanovic</t>
  </si>
  <si>
    <t>Downing</t>
  </si>
  <si>
    <t>Bellamy</t>
  </si>
  <si>
    <t>Whelan</t>
  </si>
  <si>
    <t>Gerrard</t>
  </si>
  <si>
    <t>Dorrans</t>
  </si>
  <si>
    <t>Turner</t>
  </si>
  <si>
    <t>Alcaraz</t>
  </si>
  <si>
    <t>Kolarov</t>
  </si>
  <si>
    <t>Gardner</t>
  </si>
  <si>
    <t>Distin</t>
  </si>
  <si>
    <t>Williamson</t>
  </si>
  <si>
    <t>Ruiz</t>
  </si>
  <si>
    <t>Thomas</t>
  </si>
  <si>
    <t>Jelavic</t>
  </si>
  <si>
    <t>Luiz</t>
  </si>
  <si>
    <t>Wilson</t>
  </si>
  <si>
    <t>Santon</t>
  </si>
  <si>
    <t>Rodallega</t>
  </si>
  <si>
    <t>Parker</t>
  </si>
  <si>
    <t>Gibbs</t>
  </si>
  <si>
    <t>Ridgewell</t>
  </si>
  <si>
    <t>Diame</t>
  </si>
  <si>
    <t>Smalling</t>
  </si>
  <si>
    <t>Tiote</t>
  </si>
  <si>
    <t>Mertesacker</t>
  </si>
  <si>
    <t>Senderos</t>
  </si>
  <si>
    <t>Bannan</t>
  </si>
  <si>
    <t>Rafael</t>
  </si>
  <si>
    <t>Reid</t>
  </si>
  <si>
    <t>Hughes</t>
  </si>
  <si>
    <t>Cuellar</t>
  </si>
  <si>
    <t>Naughton</t>
  </si>
  <si>
    <t>Ameobi</t>
  </si>
  <si>
    <t>Taylor S</t>
  </si>
  <si>
    <t>Jerome</t>
  </si>
  <si>
    <t>Berbatov</t>
  </si>
  <si>
    <t>Lindegaard</t>
  </si>
  <si>
    <t>Anichebe</t>
  </si>
  <si>
    <t>Clark</t>
  </si>
  <si>
    <t>Toure</t>
  </si>
  <si>
    <t>Wilkinson</t>
  </si>
  <si>
    <t>Gueye</t>
  </si>
  <si>
    <t>Smith</t>
  </si>
  <si>
    <t>Weimann</t>
  </si>
  <si>
    <t>Moore</t>
  </si>
  <si>
    <t>Stockdale</t>
  </si>
  <si>
    <t>Campbell</t>
  </si>
  <si>
    <t>Vellios</t>
  </si>
  <si>
    <t>Westwood</t>
  </si>
  <si>
    <t>Wickham</t>
  </si>
  <si>
    <t>Chamakh</t>
  </si>
  <si>
    <t>Lukaku</t>
  </si>
  <si>
    <t>Sammy Ameobi</t>
  </si>
  <si>
    <t>Delfouneso</t>
  </si>
  <si>
    <t>Hazard</t>
  </si>
  <si>
    <t>Kagawa</t>
  </si>
  <si>
    <t>Podolski</t>
  </si>
  <si>
    <t>Lambert</t>
  </si>
  <si>
    <t>Nolan</t>
  </si>
  <si>
    <t>Vertonghen</t>
  </si>
  <si>
    <t>Clyne</t>
  </si>
  <si>
    <t>Noble</t>
  </si>
  <si>
    <t>Tomkins</t>
  </si>
  <si>
    <t>Vaz Te</t>
  </si>
  <si>
    <t>McCartney</t>
  </si>
  <si>
    <t>Vidic</t>
  </si>
  <si>
    <t>Borini</t>
  </si>
  <si>
    <t>Chamberlain</t>
  </si>
  <si>
    <t>Gazzaniga</t>
  </si>
  <si>
    <t>Lallana</t>
  </si>
  <si>
    <t>Lucas</t>
  </si>
  <si>
    <t>Giroud</t>
  </si>
  <si>
    <t>Oscar</t>
  </si>
  <si>
    <t>O'Brien</t>
  </si>
  <si>
    <t>Dawson</t>
  </si>
  <si>
    <t>Mikel</t>
  </si>
  <si>
    <t>Cleverley</t>
  </si>
  <si>
    <t>Fonte</t>
  </si>
  <si>
    <t>Davis</t>
  </si>
  <si>
    <t>Cole</t>
  </si>
  <si>
    <t>Ward</t>
  </si>
  <si>
    <t>Tremmel</t>
  </si>
  <si>
    <t>Demel</t>
  </si>
  <si>
    <t>Gibson</t>
  </si>
  <si>
    <t>Michu</t>
  </si>
  <si>
    <t>Cardiff City</t>
  </si>
  <si>
    <t>Crystal Palace</t>
  </si>
  <si>
    <t>Hull City</t>
  </si>
  <si>
    <t>Santi Cazorla</t>
  </si>
  <si>
    <t>Benteke</t>
  </si>
  <si>
    <t>Snodgrass</t>
  </si>
  <si>
    <t>Jääskeläinen</t>
  </si>
  <si>
    <t>Kone</t>
  </si>
  <si>
    <t>Fletcher</t>
  </si>
  <si>
    <t>De Guzman</t>
  </si>
  <si>
    <t>Bassong</t>
  </si>
  <si>
    <t>Puncheon</t>
  </si>
  <si>
    <t>Riether</t>
  </si>
  <si>
    <t>Rodriguez</t>
  </si>
  <si>
    <t>Schneiderlin</t>
  </si>
  <si>
    <t>Guzan</t>
  </si>
  <si>
    <t>Garrido</t>
  </si>
  <si>
    <t>Azpilicueta</t>
  </si>
  <si>
    <t>Davies</t>
  </si>
  <si>
    <t>Evans</t>
  </si>
  <si>
    <t>Lloris</t>
  </si>
  <si>
    <t>Martin</t>
  </si>
  <si>
    <t>Mirallas</t>
  </si>
  <si>
    <t>Lowton</t>
  </si>
  <si>
    <t>Cameron</t>
  </si>
  <si>
    <t>Jarvis</t>
  </si>
  <si>
    <t>Ramirez</t>
  </si>
  <si>
    <t>Sidwell</t>
  </si>
  <si>
    <t>Nastasic</t>
  </si>
  <si>
    <t>Sterling</t>
  </si>
  <si>
    <t>Nzonzi</t>
  </si>
  <si>
    <t>Kacaniklic</t>
  </si>
  <si>
    <t>Coleman</t>
  </si>
  <si>
    <t>Yoshida</t>
  </si>
  <si>
    <t>Chico</t>
  </si>
  <si>
    <t>Naismith</t>
  </si>
  <si>
    <t>Coutinho</t>
  </si>
  <si>
    <t>Howson</t>
  </si>
  <si>
    <t>Cork</t>
  </si>
  <si>
    <t>Shaw</t>
  </si>
  <si>
    <t>Kightly</t>
  </si>
  <si>
    <t>Boruc</t>
  </si>
  <si>
    <t>Holman</t>
  </si>
  <si>
    <t>Ki</t>
  </si>
  <si>
    <t>Marveaux</t>
  </si>
  <si>
    <t>Rose</t>
  </si>
  <si>
    <t>Bunn</t>
  </si>
  <si>
    <t>Wilshere</t>
  </si>
  <si>
    <t>Sandro</t>
  </si>
  <si>
    <t>Tettey</t>
  </si>
  <si>
    <t>Vlaar</t>
  </si>
  <si>
    <t>Yacob</t>
  </si>
  <si>
    <t>Jenkinson</t>
  </si>
  <si>
    <t>Gouffran</t>
  </si>
  <si>
    <t>Monreal</t>
  </si>
  <si>
    <t>Bertrand</t>
  </si>
  <si>
    <t>Hooiveld</t>
  </si>
  <si>
    <t>Wisdom</t>
  </si>
  <si>
    <t>Baker</t>
  </si>
  <si>
    <t>Whittaker</t>
  </si>
  <si>
    <t>Buttner</t>
  </si>
  <si>
    <t>Tiendalli</t>
  </si>
  <si>
    <t>Rosenberg</t>
  </si>
  <si>
    <t>Mannone</t>
  </si>
  <si>
    <t>Maiga</t>
  </si>
  <si>
    <t>Myhill</t>
  </si>
  <si>
    <t>Robles</t>
  </si>
  <si>
    <t>Elliot</t>
  </si>
  <si>
    <t>Mayuka</t>
  </si>
  <si>
    <t>Bowery</t>
  </si>
  <si>
    <t>Fabianski</t>
  </si>
  <si>
    <t>Becchio</t>
  </si>
  <si>
    <t>Kane</t>
  </si>
  <si>
    <t>Size of search (15-261)</t>
  </si>
  <si>
    <t>Garcia</t>
  </si>
  <si>
    <t>Anita</t>
  </si>
  <si>
    <t>Sharp</t>
  </si>
  <si>
    <t>Hall</t>
  </si>
  <si>
    <t>Mandron</t>
  </si>
  <si>
    <t>Mitchell</t>
  </si>
  <si>
    <t>Size of search (15-269)</t>
  </si>
  <si>
    <t>Anelka</t>
  </si>
  <si>
    <t>Paulinho</t>
  </si>
  <si>
    <t>Bony</t>
  </si>
  <si>
    <t>Wanyama</t>
  </si>
  <si>
    <t>Navas</t>
  </si>
  <si>
    <t>van Wolfswinkel</t>
  </si>
  <si>
    <t>Zaha</t>
  </si>
  <si>
    <t>McNaughton</t>
  </si>
  <si>
    <t>Stekelenburg</t>
  </si>
  <si>
    <t>Giaccherini</t>
  </si>
  <si>
    <t>Negredo</t>
  </si>
  <si>
    <t>Aspas</t>
  </si>
  <si>
    <t>Marshall</t>
  </si>
  <si>
    <t>Ryan Bennett</t>
  </si>
  <si>
    <t>Deulofeu</t>
  </si>
  <si>
    <t>Whittingham</t>
  </si>
  <si>
    <t>Schürrle</t>
  </si>
  <si>
    <t>Speroni</t>
  </si>
  <si>
    <t>De Bruyne</t>
  </si>
  <si>
    <t>Fernandinho</t>
  </si>
  <si>
    <t>Jovetic</t>
  </si>
  <si>
    <t>Altidore</t>
  </si>
  <si>
    <t>Gabbidon</t>
  </si>
  <si>
    <t>Harper</t>
  </si>
  <si>
    <t>Lewis</t>
  </si>
  <si>
    <t>Sissoko</t>
  </si>
  <si>
    <t>Chester</t>
  </si>
  <si>
    <t>McShane</t>
  </si>
  <si>
    <t>Cornelius</t>
  </si>
  <si>
    <t>Parr</t>
  </si>
  <si>
    <t>McGregor</t>
  </si>
  <si>
    <t>Yanga-Mbiwa</t>
  </si>
  <si>
    <t>Ayala</t>
  </si>
  <si>
    <t>Diakité</t>
  </si>
  <si>
    <t>Jakupovic</t>
  </si>
  <si>
    <t>Shelvey</t>
  </si>
  <si>
    <t>Faye</t>
  </si>
  <si>
    <t>Rat</t>
  </si>
  <si>
    <t>Amorebieta</t>
  </si>
  <si>
    <t>Gayle</t>
  </si>
  <si>
    <t>Rosenior</t>
  </si>
  <si>
    <t>Koren</t>
  </si>
  <si>
    <t>Lovren</t>
  </si>
  <si>
    <t>Maynard</t>
  </si>
  <si>
    <t>Phillips</t>
  </si>
  <si>
    <t>Hudson</t>
  </si>
  <si>
    <t>Brady</t>
  </si>
  <si>
    <t>Cabral</t>
  </si>
  <si>
    <t>Jedinak</t>
  </si>
  <si>
    <t>Manolev</t>
  </si>
  <si>
    <t>Okore</t>
  </si>
  <si>
    <t>Redmond</t>
  </si>
  <si>
    <t>Fer</t>
  </si>
  <si>
    <t>Nugent</t>
  </si>
  <si>
    <t>Ramage</t>
  </si>
  <si>
    <t>Bolasie</t>
  </si>
  <si>
    <t>Essien</t>
  </si>
  <si>
    <t>Murray</t>
  </si>
  <si>
    <t>Boateng</t>
  </si>
  <si>
    <t>Elmohamady</t>
  </si>
  <si>
    <t>Sanogo</t>
  </si>
  <si>
    <t>Aluko</t>
  </si>
  <si>
    <t>Fryatt</t>
  </si>
  <si>
    <t>Wilbraham</t>
  </si>
  <si>
    <t>Helenius</t>
  </si>
</sst>
</file>

<file path=xl/styles.xml><?xml version="1.0" encoding="utf-8"?>
<styleSheet xmlns="http://schemas.openxmlformats.org/spreadsheetml/2006/main">
  <fonts count="4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u/>
      <sz val="11"/>
      <color theme="10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0" fontId="3" fillId="0" borderId="0" applyNumberFormat="0" applyFill="0" applyBorder="0" applyAlignment="0" applyProtection="0">
      <alignment vertical="top"/>
      <protection locked="0"/>
    </xf>
  </cellStyleXfs>
  <cellXfs count="9">
    <xf numFmtId="0" fontId="0" fillId="0" borderId="0" xfId="0"/>
    <xf numFmtId="0" fontId="0" fillId="0" borderId="0" xfId="0" applyAlignment="1">
      <alignment wrapText="1"/>
    </xf>
    <xf numFmtId="0" fontId="1" fillId="0" borderId="0" xfId="0" applyFont="1" applyAlignment="1">
      <alignment horizontal="center" vertical="center" wrapText="1"/>
    </xf>
    <xf numFmtId="16" fontId="1" fillId="0" borderId="0" xfId="0" applyNumberFormat="1" applyFont="1" applyAlignment="1">
      <alignment horizontal="center" vertical="center" wrapText="1"/>
    </xf>
    <xf numFmtId="0" fontId="0" fillId="0" borderId="0" xfId="0"/>
    <xf numFmtId="0" fontId="0" fillId="0" borderId="0" xfId="0" applyAlignment="1">
      <alignment wrapText="1"/>
    </xf>
    <xf numFmtId="0" fontId="3" fillId="0" borderId="0" xfId="1" applyAlignment="1" applyProtection="1">
      <alignment horizontal="center" wrapText="1"/>
    </xf>
    <xf numFmtId="0" fontId="0" fillId="0" borderId="0" xfId="0" applyAlignment="1">
      <alignment horizontal="center"/>
    </xf>
    <xf numFmtId="0" fontId="3" fillId="0" borderId="0" xfId="1" applyAlignment="1" applyProtection="1">
      <alignment horizontal="center" wrapText="1"/>
    </xf>
  </cellXfs>
  <cellStyles count="2">
    <cellStyle name="Hyperlink" xfId="1" builtinId="8"/>
    <cellStyle name="Normal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10" Type="http://schemas.microsoft.com/office/2006/relationships/vbaProject" Target="vbaProject.bin"/><Relationship Id="rId4" Type="http://schemas.openxmlformats.org/officeDocument/2006/relationships/theme" Target="theme/theme1.xml"/><Relationship Id="rId9" Type="http://schemas.openxmlformats.org/officeDocument/2006/relationships/customXml" Target="../customXml/item2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M412"/>
  <sheetViews>
    <sheetView tabSelected="1" workbookViewId="0"/>
  </sheetViews>
  <sheetFormatPr defaultRowHeight="15"/>
  <cols>
    <col min="1" max="1" width="19.7109375" customWidth="1"/>
    <col min="2" max="2" width="15.7109375" customWidth="1"/>
    <col min="3" max="3" width="9.140625" customWidth="1"/>
    <col min="6" max="6" width="21.7109375" customWidth="1"/>
    <col min="9" max="9" width="16.7109375" customWidth="1"/>
    <col min="10" max="10" width="17.42578125" customWidth="1"/>
    <col min="11" max="11" width="14.140625" customWidth="1"/>
  </cols>
  <sheetData>
    <row r="1" spans="1:13">
      <c r="A1" s="4"/>
      <c r="B1" s="4"/>
      <c r="E1" s="4"/>
      <c r="F1" s="4" t="s">
        <v>306</v>
      </c>
      <c r="G1" s="5">
        <v>215</v>
      </c>
      <c r="H1" s="1"/>
      <c r="I1" s="5"/>
      <c r="J1" s="5"/>
      <c r="M1" s="4"/>
    </row>
    <row r="2" spans="1:13">
      <c r="A2" s="4"/>
      <c r="B2" s="4"/>
      <c r="E2" s="4"/>
      <c r="G2" s="1"/>
      <c r="H2" s="1"/>
      <c r="I2" s="5"/>
      <c r="J2" s="5"/>
      <c r="M2" s="4"/>
    </row>
    <row r="3" spans="1:13">
      <c r="A3" s="4"/>
      <c r="B3" s="4"/>
      <c r="E3" s="4"/>
      <c r="F3" s="1" t="s">
        <v>17</v>
      </c>
      <c r="G3" s="1">
        <f>SUM(C1:C15)</f>
        <v>0</v>
      </c>
      <c r="H3" s="1"/>
      <c r="I3" s="5"/>
      <c r="J3" s="5"/>
      <c r="M3" s="4"/>
    </row>
    <row r="4" spans="1:13">
      <c r="A4" s="4"/>
      <c r="B4" s="4"/>
      <c r="E4" s="4"/>
      <c r="F4" s="1" t="s">
        <v>18</v>
      </c>
      <c r="G4" s="1">
        <f>SUM(D1:D15)</f>
        <v>0</v>
      </c>
      <c r="H4" s="1"/>
      <c r="I4" s="5"/>
      <c r="J4" s="5"/>
      <c r="M4" s="4"/>
    </row>
    <row r="5" spans="1:13">
      <c r="A5" s="4"/>
      <c r="B5" s="4"/>
      <c r="E5" s="4"/>
      <c r="F5" s="1" t="s">
        <v>19</v>
      </c>
      <c r="G5" s="1">
        <f>COUNTIF(E1:E15, "GK")</f>
        <v>0</v>
      </c>
      <c r="H5" s="1"/>
      <c r="I5" s="5"/>
      <c r="J5" s="5"/>
      <c r="M5" s="4"/>
    </row>
    <row r="6" spans="1:13">
      <c r="A6" s="4"/>
      <c r="B6" s="4"/>
      <c r="E6" s="4"/>
      <c r="F6" s="1" t="s">
        <v>20</v>
      </c>
      <c r="G6" s="1">
        <f>COUNTIF(E1:E15, "DF")</f>
        <v>0</v>
      </c>
      <c r="H6" s="1"/>
      <c r="I6" s="5"/>
      <c r="J6" s="5"/>
      <c r="M6" s="4"/>
    </row>
    <row r="7" spans="1:13">
      <c r="A7" s="4"/>
      <c r="B7" s="4"/>
      <c r="E7" s="4"/>
      <c r="F7" s="1" t="s">
        <v>21</v>
      </c>
      <c r="G7" s="1">
        <f>COUNTIF(E1:E15, "MF")</f>
        <v>0</v>
      </c>
      <c r="H7" s="1"/>
      <c r="I7" s="5"/>
      <c r="J7" s="5"/>
      <c r="M7" s="4"/>
    </row>
    <row r="8" spans="1:13">
      <c r="A8" s="4"/>
      <c r="B8" s="4"/>
      <c r="E8" s="4"/>
      <c r="F8" s="1" t="s">
        <v>22</v>
      </c>
      <c r="G8" s="1">
        <f>COUNTIF(E1:E15, "FW")</f>
        <v>0</v>
      </c>
      <c r="H8" s="1"/>
      <c r="I8" s="5"/>
      <c r="J8" s="5"/>
      <c r="M8" s="4"/>
    </row>
    <row r="9" spans="1:13">
      <c r="A9" s="4"/>
      <c r="B9" s="4"/>
      <c r="E9" s="4"/>
      <c r="G9" s="1"/>
      <c r="H9" s="1"/>
      <c r="I9" s="5"/>
      <c r="J9" s="5"/>
      <c r="M9" s="4"/>
    </row>
    <row r="10" spans="1:13">
      <c r="A10" s="4"/>
      <c r="B10" s="4"/>
      <c r="E10" s="4"/>
      <c r="F10" s="5" t="s">
        <v>5</v>
      </c>
      <c r="G10" s="1">
        <f>COUNTIF(B1:B15, "Arsenal")</f>
        <v>0</v>
      </c>
      <c r="H10" s="1"/>
      <c r="I10" s="5"/>
      <c r="J10" s="5"/>
      <c r="M10" s="4"/>
    </row>
    <row r="11" spans="1:13">
      <c r="A11" s="4"/>
      <c r="B11" s="4"/>
      <c r="E11" s="4"/>
      <c r="F11" s="5" t="s">
        <v>3</v>
      </c>
      <c r="G11" s="5">
        <f>COUNTIF(B1:B15, "Aston Villa")</f>
        <v>0</v>
      </c>
      <c r="H11" s="1"/>
      <c r="I11" s="5"/>
      <c r="J11" s="5"/>
      <c r="M11" s="4"/>
    </row>
    <row r="12" spans="1:13">
      <c r="A12" s="4"/>
      <c r="B12" s="4"/>
      <c r="E12" s="4"/>
      <c r="F12" s="5" t="s">
        <v>233</v>
      </c>
      <c r="G12" s="1">
        <f>COUNTIF(B1:B15, "Chelsea")</f>
        <v>0</v>
      </c>
      <c r="H12" s="1"/>
      <c r="I12" s="5"/>
      <c r="J12" s="5"/>
      <c r="M12" s="4"/>
    </row>
    <row r="13" spans="1:13">
      <c r="A13" s="4"/>
      <c r="B13" s="4"/>
      <c r="E13" s="4"/>
      <c r="F13" s="5" t="s">
        <v>0</v>
      </c>
      <c r="G13" s="1">
        <f>COUNTIF(B1:B15, "Everton")</f>
        <v>0</v>
      </c>
      <c r="H13" s="1"/>
      <c r="I13" s="5"/>
      <c r="J13" s="5"/>
      <c r="M13" s="4"/>
    </row>
    <row r="14" spans="1:13">
      <c r="F14" s="5" t="s">
        <v>234</v>
      </c>
      <c r="G14" s="1">
        <f>COUNTIF(B1:B15, "Fulham")</f>
        <v>0</v>
      </c>
      <c r="H14" s="1"/>
      <c r="I14" s="5"/>
      <c r="J14" s="5"/>
      <c r="M14" s="4"/>
    </row>
    <row r="15" spans="1:13">
      <c r="F15" s="5" t="s">
        <v>6</v>
      </c>
      <c r="G15" s="1">
        <f>COUNTIF(B1:B15, "Liverpool")</f>
        <v>0</v>
      </c>
      <c r="H15" s="1"/>
      <c r="I15" s="5"/>
      <c r="J15" s="5"/>
      <c r="M15" s="4"/>
    </row>
    <row r="16" spans="1:13">
      <c r="A16" s="4"/>
      <c r="B16" s="4"/>
      <c r="D16" s="4"/>
      <c r="E16" s="4"/>
      <c r="F16" s="5" t="s">
        <v>8</v>
      </c>
      <c r="G16" s="1">
        <f>COUNTIF(B1:B15, "Man City")</f>
        <v>0</v>
      </c>
      <c r="H16" s="1"/>
      <c r="I16" s="1"/>
      <c r="J16" s="1"/>
    </row>
    <row r="17" spans="1:13">
      <c r="A17" s="7" t="s">
        <v>27</v>
      </c>
      <c r="B17" s="7"/>
      <c r="C17" s="7"/>
      <c r="D17" s="7"/>
      <c r="E17" s="4"/>
      <c r="F17" s="5" t="s">
        <v>235</v>
      </c>
      <c r="G17" s="1">
        <f>COUNTIF(B1:B15, "Man Utd")</f>
        <v>0</v>
      </c>
      <c r="H17" s="1"/>
      <c r="I17" s="1"/>
      <c r="J17" s="5" t="s">
        <v>28</v>
      </c>
      <c r="K17">
        <f>SUM(K1:K15)</f>
        <v>0</v>
      </c>
      <c r="L17">
        <f>SUM(L1:L15)</f>
        <v>0</v>
      </c>
    </row>
    <row r="18" spans="1:13">
      <c r="A18" s="4"/>
      <c r="B18" s="4"/>
      <c r="D18" s="4"/>
      <c r="E18" s="4"/>
      <c r="F18" s="5" t="s">
        <v>1</v>
      </c>
      <c r="G18" s="1">
        <f>COUNTIF(B1:B15, "Newcastle")</f>
        <v>0</v>
      </c>
      <c r="H18" s="1"/>
      <c r="I18" s="1"/>
      <c r="J18" s="1"/>
    </row>
    <row r="19" spans="1:13">
      <c r="A19" s="4"/>
      <c r="B19" s="4"/>
      <c r="C19" s="4"/>
      <c r="D19" s="4"/>
      <c r="E19" s="4"/>
      <c r="F19" s="5" t="s">
        <v>4</v>
      </c>
      <c r="G19" s="1">
        <f>COUNTIF(B1:B15, "Norwich")</f>
        <v>0</v>
      </c>
      <c r="H19" s="1"/>
      <c r="I19" s="1"/>
      <c r="J19" s="1"/>
    </row>
    <row r="20" spans="1:13">
      <c r="A20" s="4" t="s">
        <v>31</v>
      </c>
      <c r="B20" s="4" t="s">
        <v>2</v>
      </c>
      <c r="C20" s="4">
        <v>262</v>
      </c>
      <c r="D20" s="4">
        <v>14</v>
      </c>
      <c r="E20" s="4" t="s">
        <v>16</v>
      </c>
      <c r="F20" s="5" t="s">
        <v>2</v>
      </c>
      <c r="G20" s="1">
        <f>COUNTIF(B1:B15, "QPR")</f>
        <v>0</v>
      </c>
      <c r="H20" s="1"/>
      <c r="I20" s="1"/>
      <c r="J20" s="1"/>
    </row>
    <row r="21" spans="1:13">
      <c r="A21" s="4" t="s">
        <v>35</v>
      </c>
      <c r="B21" s="4" t="s">
        <v>7</v>
      </c>
      <c r="C21" s="4">
        <v>249</v>
      </c>
      <c r="D21" s="4">
        <v>12</v>
      </c>
      <c r="E21" s="4" t="s">
        <v>15</v>
      </c>
      <c r="F21" s="5" t="s">
        <v>10</v>
      </c>
      <c r="G21" s="5">
        <f>COUNTIF(B2:B16, "Reading")</f>
        <v>0</v>
      </c>
      <c r="H21" s="1"/>
      <c r="I21" s="1"/>
      <c r="J21" s="1"/>
      <c r="M21" s="4"/>
    </row>
    <row r="22" spans="1:13">
      <c r="A22" s="4" t="s">
        <v>41</v>
      </c>
      <c r="B22" s="4" t="s">
        <v>0</v>
      </c>
      <c r="C22" s="4">
        <v>212</v>
      </c>
      <c r="D22" s="4">
        <v>10.5</v>
      </c>
      <c r="E22" s="4" t="s">
        <v>15</v>
      </c>
      <c r="F22" s="5" t="s">
        <v>24</v>
      </c>
      <c r="G22" s="5">
        <f>COUNTIF(B3:B17, "Southampton")</f>
        <v>0</v>
      </c>
      <c r="H22" s="1"/>
      <c r="I22" s="1"/>
      <c r="J22" s="1"/>
      <c r="M22" s="4"/>
    </row>
    <row r="23" spans="1:13" ht="15" customHeight="1">
      <c r="A23" s="4" t="s">
        <v>58</v>
      </c>
      <c r="B23" s="4" t="s">
        <v>1</v>
      </c>
      <c r="C23" s="4">
        <v>212</v>
      </c>
      <c r="D23" s="4">
        <v>11</v>
      </c>
      <c r="E23" s="4" t="s">
        <v>16</v>
      </c>
      <c r="F23" s="5" t="s">
        <v>30</v>
      </c>
      <c r="G23" s="1">
        <f>COUNTIF(B1:B15, "Stoke City")</f>
        <v>0</v>
      </c>
      <c r="H23" s="1"/>
      <c r="I23" s="6"/>
      <c r="J23" s="8" t="s">
        <v>26</v>
      </c>
      <c r="K23" s="8"/>
      <c r="L23" s="6"/>
      <c r="M23" s="4"/>
    </row>
    <row r="24" spans="1:13">
      <c r="A24" s="4" t="s">
        <v>236</v>
      </c>
      <c r="B24" s="4" t="s">
        <v>5</v>
      </c>
      <c r="C24" s="4">
        <v>205</v>
      </c>
      <c r="D24" s="4">
        <v>10</v>
      </c>
      <c r="E24" s="4" t="s">
        <v>15</v>
      </c>
      <c r="F24" s="5" t="s">
        <v>9</v>
      </c>
      <c r="G24" s="1">
        <f>COUNTIF(B1:B15, "Sunderland")</f>
        <v>0</v>
      </c>
      <c r="H24" s="1"/>
      <c r="I24" s="1"/>
      <c r="J24" s="1"/>
      <c r="M24" s="4"/>
    </row>
    <row r="25" spans="1:13">
      <c r="A25" s="4" t="s">
        <v>38</v>
      </c>
      <c r="B25" s="4" t="s">
        <v>5</v>
      </c>
      <c r="C25" s="4">
        <v>194</v>
      </c>
      <c r="D25" s="4">
        <v>9.5</v>
      </c>
      <c r="E25" s="4" t="s">
        <v>15</v>
      </c>
      <c r="F25" s="5" t="s">
        <v>11</v>
      </c>
      <c r="G25" s="1">
        <f>COUNTIF(B1:B15, "Swansea")</f>
        <v>0</v>
      </c>
      <c r="H25" s="1"/>
      <c r="I25" s="1"/>
      <c r="J25" s="1"/>
      <c r="M25" s="4"/>
    </row>
    <row r="26" spans="1:13">
      <c r="A26" s="4" t="s">
        <v>202</v>
      </c>
      <c r="B26" s="4" t="s">
        <v>0</v>
      </c>
      <c r="C26" s="4">
        <v>190</v>
      </c>
      <c r="D26" s="4">
        <v>9.5</v>
      </c>
      <c r="E26" s="4" t="s">
        <v>15</v>
      </c>
      <c r="F26" s="5" t="s">
        <v>25</v>
      </c>
      <c r="G26" s="1">
        <f>COUNTIF(B1:B15, "Tottenham")</f>
        <v>0</v>
      </c>
      <c r="H26" s="1"/>
      <c r="I26" s="1"/>
      <c r="J26" s="1"/>
      <c r="M26" s="4"/>
    </row>
    <row r="27" spans="1:13">
      <c r="A27" s="4" t="s">
        <v>232</v>
      </c>
      <c r="B27" s="4" t="s">
        <v>25</v>
      </c>
      <c r="C27" s="4">
        <v>190</v>
      </c>
      <c r="D27" s="4">
        <v>9</v>
      </c>
      <c r="E27" s="4" t="s">
        <v>15</v>
      </c>
      <c r="F27" s="5" t="s">
        <v>7</v>
      </c>
      <c r="G27" s="1">
        <f>COUNTIF(B1:B15, "West Brom")</f>
        <v>0</v>
      </c>
      <c r="H27" s="1"/>
      <c r="I27" s="1"/>
      <c r="J27" s="1"/>
      <c r="M27" s="4"/>
    </row>
    <row r="28" spans="1:13">
      <c r="A28" s="4" t="s">
        <v>205</v>
      </c>
      <c r="B28" s="4" t="s">
        <v>30</v>
      </c>
      <c r="C28" s="4">
        <v>187</v>
      </c>
      <c r="D28" s="4">
        <v>7.5</v>
      </c>
      <c r="E28" s="4" t="s">
        <v>16</v>
      </c>
      <c r="F28" s="5" t="s">
        <v>12</v>
      </c>
      <c r="G28" s="5">
        <f>COUNTIF(B2:B16, "West Ham")</f>
        <v>0</v>
      </c>
      <c r="H28" s="1"/>
      <c r="I28" s="1"/>
      <c r="J28" s="1"/>
      <c r="M28" s="4"/>
    </row>
    <row r="29" spans="1:13">
      <c r="A29" s="4" t="s">
        <v>151</v>
      </c>
      <c r="B29" s="4" t="s">
        <v>1</v>
      </c>
      <c r="C29" s="4">
        <v>185</v>
      </c>
      <c r="D29" s="4">
        <v>9</v>
      </c>
      <c r="E29" s="4" t="s">
        <v>15</v>
      </c>
      <c r="F29" s="5" t="s">
        <v>29</v>
      </c>
      <c r="G29" s="1">
        <f>COUNTIF(B1:B15, "Wigan")</f>
        <v>0</v>
      </c>
      <c r="H29" s="1"/>
      <c r="I29" s="1"/>
      <c r="J29" s="1"/>
      <c r="M29" s="4"/>
    </row>
    <row r="30" spans="1:13">
      <c r="A30" s="4" t="s">
        <v>62</v>
      </c>
      <c r="B30" s="4" t="s">
        <v>6</v>
      </c>
      <c r="C30" s="4">
        <v>177</v>
      </c>
      <c r="D30" s="4">
        <v>7.5</v>
      </c>
      <c r="E30" s="4" t="s">
        <v>14</v>
      </c>
      <c r="F30" s="1" t="s">
        <v>23</v>
      </c>
      <c r="G30">
        <f>MAX(G10:G29)</f>
        <v>0</v>
      </c>
      <c r="H30" s="1"/>
      <c r="I30" s="1"/>
      <c r="J30" s="1"/>
      <c r="M30" s="4"/>
    </row>
    <row r="31" spans="1:13">
      <c r="A31" s="4" t="s">
        <v>102</v>
      </c>
      <c r="B31" s="4" t="s">
        <v>6</v>
      </c>
      <c r="C31" s="4">
        <v>168</v>
      </c>
      <c r="D31" s="4">
        <v>8.5</v>
      </c>
      <c r="E31" s="4" t="s">
        <v>15</v>
      </c>
      <c r="G31" s="1"/>
      <c r="H31" s="1"/>
      <c r="I31" s="1"/>
      <c r="J31" s="1"/>
      <c r="M31" s="4"/>
    </row>
    <row r="32" spans="1:13">
      <c r="A32" s="4" t="s">
        <v>237</v>
      </c>
      <c r="B32" s="4" t="s">
        <v>3</v>
      </c>
      <c r="C32" s="4">
        <v>166</v>
      </c>
      <c r="D32" s="4">
        <v>9</v>
      </c>
      <c r="E32" s="4" t="s">
        <v>16</v>
      </c>
      <c r="G32" s="1"/>
      <c r="H32" s="1"/>
      <c r="I32" s="1"/>
      <c r="J32" s="1"/>
      <c r="M32" s="4"/>
    </row>
    <row r="33" spans="1:13">
      <c r="A33" s="4" t="s">
        <v>183</v>
      </c>
      <c r="B33" s="4" t="s">
        <v>8</v>
      </c>
      <c r="C33" s="4">
        <v>163</v>
      </c>
      <c r="D33" s="4">
        <v>7.5</v>
      </c>
      <c r="E33" s="4" t="s">
        <v>16</v>
      </c>
      <c r="G33" s="1"/>
      <c r="H33" s="1"/>
      <c r="I33" s="1"/>
      <c r="J33" s="1"/>
      <c r="M33" s="4"/>
    </row>
    <row r="34" spans="1:13">
      <c r="A34" s="4" t="s">
        <v>199</v>
      </c>
      <c r="B34" s="4" t="s">
        <v>0</v>
      </c>
      <c r="C34" s="4">
        <v>159</v>
      </c>
      <c r="D34" s="4">
        <v>8</v>
      </c>
      <c r="E34" s="4" t="s">
        <v>16</v>
      </c>
      <c r="G34" s="1"/>
      <c r="H34" s="1"/>
      <c r="I34" s="1"/>
      <c r="J34" s="1"/>
      <c r="M34" s="4"/>
    </row>
    <row r="35" spans="1:13">
      <c r="A35" s="4" t="s">
        <v>39</v>
      </c>
      <c r="B35" s="4" t="s">
        <v>4</v>
      </c>
      <c r="C35" s="4">
        <v>158</v>
      </c>
      <c r="D35" s="4">
        <v>6.5</v>
      </c>
      <c r="E35" s="4" t="s">
        <v>13</v>
      </c>
      <c r="G35" s="1"/>
      <c r="H35" s="1"/>
      <c r="I35" s="1"/>
      <c r="J35" s="1"/>
      <c r="M35" s="4"/>
    </row>
    <row r="36" spans="1:13">
      <c r="A36" s="4" t="s">
        <v>40</v>
      </c>
      <c r="B36" s="4" t="s">
        <v>0</v>
      </c>
      <c r="C36" s="4">
        <v>153</v>
      </c>
      <c r="D36" s="4">
        <v>8.5</v>
      </c>
      <c r="E36" s="4" t="s">
        <v>16</v>
      </c>
      <c r="M36" s="4"/>
    </row>
    <row r="37" spans="1:13">
      <c r="A37" s="4" t="s">
        <v>43</v>
      </c>
      <c r="B37" s="4" t="s">
        <v>2</v>
      </c>
      <c r="C37" s="4">
        <v>152</v>
      </c>
      <c r="D37" s="4">
        <v>6.5</v>
      </c>
      <c r="E37" s="4" t="s">
        <v>14</v>
      </c>
      <c r="M37" s="4"/>
    </row>
    <row r="38" spans="1:13">
      <c r="A38" s="4" t="s">
        <v>238</v>
      </c>
      <c r="B38" s="4" t="s">
        <v>24</v>
      </c>
      <c r="C38" s="4">
        <v>152</v>
      </c>
      <c r="D38" s="4">
        <v>6.5</v>
      </c>
      <c r="E38" s="4" t="s">
        <v>15</v>
      </c>
      <c r="M38" s="4"/>
    </row>
    <row r="39" spans="1:13">
      <c r="A39" s="4" t="s">
        <v>56</v>
      </c>
      <c r="B39" s="4" t="s">
        <v>0</v>
      </c>
      <c r="C39" s="4">
        <v>150</v>
      </c>
      <c r="D39" s="4">
        <v>8</v>
      </c>
      <c r="E39" s="4" t="s">
        <v>15</v>
      </c>
      <c r="M39" s="4"/>
    </row>
    <row r="40" spans="1:13">
      <c r="A40" s="4" t="s">
        <v>206</v>
      </c>
      <c r="B40" s="4" t="s">
        <v>29</v>
      </c>
      <c r="C40" s="4">
        <v>149</v>
      </c>
      <c r="D40" s="4">
        <v>7</v>
      </c>
      <c r="E40" s="4" t="s">
        <v>15</v>
      </c>
      <c r="M40" s="4"/>
    </row>
    <row r="41" spans="1:13">
      <c r="A41" s="4" t="s">
        <v>204</v>
      </c>
      <c r="B41" s="4" t="s">
        <v>5</v>
      </c>
      <c r="C41" s="4">
        <v>147</v>
      </c>
      <c r="D41" s="4">
        <v>8.5</v>
      </c>
      <c r="E41" s="4" t="s">
        <v>16</v>
      </c>
      <c r="M41" s="4"/>
    </row>
    <row r="42" spans="1:13">
      <c r="A42" s="4" t="s">
        <v>37</v>
      </c>
      <c r="B42" s="4" t="s">
        <v>4</v>
      </c>
      <c r="C42" s="4">
        <v>147</v>
      </c>
      <c r="D42" s="4">
        <v>9</v>
      </c>
      <c r="E42" s="4" t="s">
        <v>15</v>
      </c>
      <c r="M42" s="4"/>
    </row>
    <row r="43" spans="1:13">
      <c r="A43" s="4" t="s">
        <v>112</v>
      </c>
      <c r="B43" s="4" t="s">
        <v>11</v>
      </c>
      <c r="C43" s="4">
        <v>146</v>
      </c>
      <c r="D43" s="4">
        <v>7</v>
      </c>
      <c r="E43" s="4" t="s">
        <v>15</v>
      </c>
      <c r="M43" s="4"/>
    </row>
    <row r="44" spans="1:13">
      <c r="A44" s="4" t="s">
        <v>131</v>
      </c>
      <c r="B44" s="4" t="s">
        <v>9</v>
      </c>
      <c r="C44" s="4">
        <v>144</v>
      </c>
      <c r="D44" s="4">
        <v>5.5</v>
      </c>
      <c r="E44" s="4" t="s">
        <v>13</v>
      </c>
      <c r="M44" s="4"/>
    </row>
    <row r="45" spans="1:13">
      <c r="A45" s="4" t="s">
        <v>71</v>
      </c>
      <c r="B45" s="4" t="s">
        <v>0</v>
      </c>
      <c r="C45" s="4">
        <v>144</v>
      </c>
      <c r="D45" s="4">
        <v>6.5</v>
      </c>
      <c r="E45" s="4" t="s">
        <v>13</v>
      </c>
      <c r="M45" s="4"/>
    </row>
    <row r="46" spans="1:13">
      <c r="A46" s="4" t="s">
        <v>239</v>
      </c>
      <c r="B46" s="4" t="s">
        <v>29</v>
      </c>
      <c r="C46" s="4">
        <v>144</v>
      </c>
      <c r="D46" s="4">
        <v>5.5</v>
      </c>
      <c r="E46" s="4" t="s">
        <v>13</v>
      </c>
      <c r="M46" s="4"/>
    </row>
    <row r="47" spans="1:13">
      <c r="A47" s="4" t="s">
        <v>147</v>
      </c>
      <c r="B47" s="4" t="s">
        <v>0</v>
      </c>
      <c r="C47" s="4">
        <v>143</v>
      </c>
      <c r="D47" s="4">
        <v>6.5</v>
      </c>
      <c r="E47" s="4" t="s">
        <v>14</v>
      </c>
      <c r="M47" s="4"/>
    </row>
    <row r="48" spans="1:13">
      <c r="A48" s="4" t="s">
        <v>32</v>
      </c>
      <c r="B48" s="4" t="s">
        <v>2</v>
      </c>
      <c r="C48" s="4">
        <v>143</v>
      </c>
      <c r="D48" s="4">
        <v>10.5</v>
      </c>
      <c r="E48" s="4" t="s">
        <v>16</v>
      </c>
      <c r="M48" s="4"/>
    </row>
    <row r="49" spans="1:13">
      <c r="A49" s="4" t="s">
        <v>112</v>
      </c>
      <c r="B49" s="4" t="s">
        <v>1</v>
      </c>
      <c r="C49" s="4">
        <v>142</v>
      </c>
      <c r="D49" s="4">
        <v>6</v>
      </c>
      <c r="E49" s="4" t="s">
        <v>14</v>
      </c>
      <c r="M49" s="4"/>
    </row>
    <row r="50" spans="1:13">
      <c r="A50" s="4" t="s">
        <v>54</v>
      </c>
      <c r="B50" s="4" t="s">
        <v>4</v>
      </c>
      <c r="C50" s="4">
        <v>142</v>
      </c>
      <c r="D50" s="4">
        <v>8.5</v>
      </c>
      <c r="E50" s="4" t="s">
        <v>15</v>
      </c>
      <c r="M50" s="4"/>
    </row>
    <row r="51" spans="1:13">
      <c r="A51" s="4" t="s">
        <v>144</v>
      </c>
      <c r="B51" s="4" t="s">
        <v>6</v>
      </c>
      <c r="C51" s="4">
        <v>141</v>
      </c>
      <c r="D51" s="4">
        <v>7</v>
      </c>
      <c r="E51" s="4" t="s">
        <v>15</v>
      </c>
      <c r="M51" s="4"/>
    </row>
    <row r="52" spans="1:13">
      <c r="A52" s="4" t="s">
        <v>42</v>
      </c>
      <c r="B52" s="4" t="s">
        <v>11</v>
      </c>
      <c r="C52" s="4">
        <v>141</v>
      </c>
      <c r="D52" s="4">
        <v>7</v>
      </c>
      <c r="E52" s="4" t="s">
        <v>15</v>
      </c>
      <c r="M52" s="4"/>
    </row>
    <row r="53" spans="1:13">
      <c r="A53" s="4" t="s">
        <v>52</v>
      </c>
      <c r="B53" s="4" t="s">
        <v>9</v>
      </c>
      <c r="C53" s="4">
        <v>141</v>
      </c>
      <c r="D53" s="4">
        <v>6.5</v>
      </c>
      <c r="E53" s="4" t="s">
        <v>15</v>
      </c>
      <c r="M53" s="4"/>
    </row>
    <row r="54" spans="1:13">
      <c r="A54" s="4" t="s">
        <v>240</v>
      </c>
      <c r="B54" s="4" t="s">
        <v>6</v>
      </c>
      <c r="C54" s="4">
        <v>140</v>
      </c>
      <c r="D54" s="4">
        <v>7</v>
      </c>
      <c r="E54" s="4" t="s">
        <v>16</v>
      </c>
      <c r="M54" s="4"/>
    </row>
    <row r="55" spans="1:13">
      <c r="A55" s="4" t="s">
        <v>76</v>
      </c>
      <c r="B55" s="4" t="s">
        <v>1</v>
      </c>
      <c r="C55" s="4">
        <v>140</v>
      </c>
      <c r="D55" s="4">
        <v>5.5</v>
      </c>
      <c r="E55" s="4" t="s">
        <v>13</v>
      </c>
      <c r="M55" s="4"/>
    </row>
    <row r="56" spans="1:13">
      <c r="A56" s="4" t="s">
        <v>207</v>
      </c>
      <c r="B56" s="4" t="s">
        <v>7</v>
      </c>
      <c r="C56" s="4">
        <v>136</v>
      </c>
      <c r="D56" s="4">
        <v>7</v>
      </c>
      <c r="E56" s="4" t="s">
        <v>14</v>
      </c>
      <c r="M56" s="4"/>
    </row>
    <row r="57" spans="1:13">
      <c r="A57" s="4" t="s">
        <v>172</v>
      </c>
      <c r="B57" s="4" t="s">
        <v>5</v>
      </c>
      <c r="C57" s="4">
        <v>135</v>
      </c>
      <c r="D57" s="4">
        <v>5.5</v>
      </c>
      <c r="E57" s="4" t="s">
        <v>14</v>
      </c>
      <c r="M57" s="4"/>
    </row>
    <row r="58" spans="1:13">
      <c r="A58" s="4" t="s">
        <v>81</v>
      </c>
      <c r="B58" s="4" t="s">
        <v>0</v>
      </c>
      <c r="C58" s="4">
        <v>135</v>
      </c>
      <c r="D58" s="4">
        <v>5</v>
      </c>
      <c r="E58" s="4" t="s">
        <v>13</v>
      </c>
      <c r="M58" s="4"/>
    </row>
    <row r="59" spans="1:13">
      <c r="A59" s="4" t="s">
        <v>121</v>
      </c>
      <c r="B59" s="4" t="s">
        <v>1</v>
      </c>
      <c r="C59" s="4">
        <v>134</v>
      </c>
      <c r="D59" s="4">
        <v>6</v>
      </c>
      <c r="E59" s="4" t="s">
        <v>14</v>
      </c>
      <c r="M59" s="4"/>
    </row>
    <row r="60" spans="1:13">
      <c r="A60" s="4" t="s">
        <v>82</v>
      </c>
      <c r="B60" s="4" t="s">
        <v>1</v>
      </c>
      <c r="C60" s="4">
        <v>134</v>
      </c>
      <c r="D60" s="4">
        <v>6</v>
      </c>
      <c r="E60" s="4" t="s">
        <v>14</v>
      </c>
      <c r="M60" s="4"/>
    </row>
    <row r="61" spans="1:13">
      <c r="A61" s="4" t="s">
        <v>114</v>
      </c>
      <c r="B61" s="4" t="s">
        <v>12</v>
      </c>
      <c r="C61" s="4">
        <v>133</v>
      </c>
      <c r="D61" s="4">
        <v>6</v>
      </c>
      <c r="E61" s="4" t="s">
        <v>15</v>
      </c>
      <c r="M61" s="4"/>
    </row>
    <row r="62" spans="1:13">
      <c r="A62" s="4" t="s">
        <v>123</v>
      </c>
      <c r="B62" s="4" t="s">
        <v>0</v>
      </c>
      <c r="C62" s="4">
        <v>133</v>
      </c>
      <c r="D62" s="4">
        <v>9</v>
      </c>
      <c r="E62" s="4" t="s">
        <v>16</v>
      </c>
      <c r="M62" s="4"/>
    </row>
    <row r="63" spans="1:13">
      <c r="A63" s="4" t="s">
        <v>68</v>
      </c>
      <c r="B63" s="4" t="s">
        <v>5</v>
      </c>
      <c r="C63" s="4">
        <v>131</v>
      </c>
      <c r="D63" s="4">
        <v>7</v>
      </c>
      <c r="E63" s="4" t="s">
        <v>15</v>
      </c>
      <c r="M63" s="4"/>
    </row>
    <row r="64" spans="1:13">
      <c r="A64" s="4" t="s">
        <v>241</v>
      </c>
      <c r="B64" s="4" t="s">
        <v>11</v>
      </c>
      <c r="C64" s="4">
        <v>131</v>
      </c>
      <c r="D64" s="4">
        <v>7.5</v>
      </c>
      <c r="E64" s="4" t="s">
        <v>16</v>
      </c>
      <c r="M64" s="4"/>
    </row>
    <row r="65" spans="1:13">
      <c r="A65" s="4" t="s">
        <v>59</v>
      </c>
      <c r="B65" s="4" t="s">
        <v>4</v>
      </c>
      <c r="C65" s="4">
        <v>130</v>
      </c>
      <c r="D65" s="4">
        <v>7.5</v>
      </c>
      <c r="E65" s="4" t="s">
        <v>16</v>
      </c>
      <c r="M65" s="4"/>
    </row>
    <row r="66" spans="1:13">
      <c r="A66" s="4" t="s">
        <v>128</v>
      </c>
      <c r="B66" s="4" t="s">
        <v>7</v>
      </c>
      <c r="C66" s="4">
        <v>130</v>
      </c>
      <c r="D66" s="4">
        <v>7.5</v>
      </c>
      <c r="E66" s="4" t="s">
        <v>15</v>
      </c>
      <c r="M66" s="4"/>
    </row>
    <row r="67" spans="1:13">
      <c r="A67" s="4" t="s">
        <v>66</v>
      </c>
      <c r="B67" s="4" t="s">
        <v>9</v>
      </c>
      <c r="C67" s="4">
        <v>128</v>
      </c>
      <c r="D67" s="4">
        <v>6</v>
      </c>
      <c r="E67" s="4" t="s">
        <v>16</v>
      </c>
      <c r="M67" s="4"/>
    </row>
    <row r="68" spans="1:13">
      <c r="A68" s="4" t="s">
        <v>242</v>
      </c>
      <c r="B68" s="4" t="s">
        <v>25</v>
      </c>
      <c r="C68" s="4">
        <v>127</v>
      </c>
      <c r="D68" s="4">
        <v>6</v>
      </c>
      <c r="E68" s="4" t="s">
        <v>15</v>
      </c>
      <c r="M68" s="4"/>
    </row>
    <row r="69" spans="1:13">
      <c r="A69" s="4" t="s">
        <v>97</v>
      </c>
      <c r="B69" s="4" t="s">
        <v>6</v>
      </c>
      <c r="C69" s="4">
        <v>126</v>
      </c>
      <c r="D69" s="4">
        <v>5.5</v>
      </c>
      <c r="E69" s="4" t="s">
        <v>14</v>
      </c>
      <c r="M69" s="4"/>
    </row>
    <row r="70" spans="1:13">
      <c r="A70" s="4" t="s">
        <v>145</v>
      </c>
      <c r="B70" s="4" t="s">
        <v>25</v>
      </c>
      <c r="C70" s="4">
        <v>126</v>
      </c>
      <c r="D70" s="4">
        <v>5.5</v>
      </c>
      <c r="E70" s="4" t="s">
        <v>15</v>
      </c>
      <c r="M70" s="4"/>
    </row>
    <row r="71" spans="1:13">
      <c r="A71" s="4" t="s">
        <v>74</v>
      </c>
      <c r="B71" s="4" t="s">
        <v>1</v>
      </c>
      <c r="C71" s="4">
        <v>125</v>
      </c>
      <c r="D71" s="4">
        <v>5.5</v>
      </c>
      <c r="E71" s="4" t="s">
        <v>13</v>
      </c>
      <c r="M71" s="4"/>
    </row>
    <row r="72" spans="1:13">
      <c r="A72" s="4" t="s">
        <v>124</v>
      </c>
      <c r="B72" s="4" t="s">
        <v>7</v>
      </c>
      <c r="C72" s="4">
        <v>124</v>
      </c>
      <c r="D72" s="4">
        <v>8.5</v>
      </c>
      <c r="E72" s="4" t="s">
        <v>16</v>
      </c>
      <c r="M72" s="4"/>
    </row>
    <row r="73" spans="1:13">
      <c r="A73" s="4" t="s">
        <v>138</v>
      </c>
      <c r="B73" s="4" t="s">
        <v>4</v>
      </c>
      <c r="C73" s="4">
        <v>124</v>
      </c>
      <c r="D73" s="4">
        <v>6</v>
      </c>
      <c r="E73" s="4" t="s">
        <v>14</v>
      </c>
      <c r="M73" s="4"/>
    </row>
    <row r="74" spans="1:13">
      <c r="A74" s="4" t="s">
        <v>221</v>
      </c>
      <c r="B74" s="4" t="s">
        <v>29</v>
      </c>
      <c r="C74" s="4">
        <v>123</v>
      </c>
      <c r="D74" s="4">
        <v>5.5</v>
      </c>
      <c r="E74" s="4" t="s">
        <v>14</v>
      </c>
      <c r="M74" s="4"/>
    </row>
    <row r="75" spans="1:13">
      <c r="A75" s="4" t="s">
        <v>78</v>
      </c>
      <c r="B75" s="4" t="s">
        <v>9</v>
      </c>
      <c r="C75" s="4">
        <v>123</v>
      </c>
      <c r="D75" s="4">
        <v>5.5</v>
      </c>
      <c r="E75" s="4" t="s">
        <v>14</v>
      </c>
      <c r="M75" s="4"/>
    </row>
    <row r="76" spans="1:13">
      <c r="A76" s="4" t="s">
        <v>162</v>
      </c>
      <c r="B76" s="4" t="s">
        <v>0</v>
      </c>
      <c r="C76" s="4">
        <v>122</v>
      </c>
      <c r="D76" s="4">
        <v>6.5</v>
      </c>
      <c r="E76" s="4" t="s">
        <v>14</v>
      </c>
      <c r="M76" s="4"/>
    </row>
    <row r="77" spans="1:13">
      <c r="A77" s="4" t="s">
        <v>87</v>
      </c>
      <c r="B77" s="4" t="s">
        <v>6</v>
      </c>
      <c r="C77" s="4">
        <v>122</v>
      </c>
      <c r="D77" s="4">
        <v>6.5</v>
      </c>
      <c r="E77" s="4" t="s">
        <v>15</v>
      </c>
      <c r="M77" s="4"/>
    </row>
    <row r="78" spans="1:13">
      <c r="A78" s="4" t="s">
        <v>33</v>
      </c>
      <c r="B78" s="4" t="s">
        <v>4</v>
      </c>
      <c r="C78" s="4">
        <v>121</v>
      </c>
      <c r="D78" s="4">
        <v>11</v>
      </c>
      <c r="E78" s="4" t="s">
        <v>16</v>
      </c>
      <c r="M78" s="4"/>
    </row>
    <row r="79" spans="1:13">
      <c r="A79" s="4" t="s">
        <v>243</v>
      </c>
      <c r="B79" s="4" t="s">
        <v>24</v>
      </c>
      <c r="C79" s="4">
        <v>121</v>
      </c>
      <c r="D79" s="4">
        <v>5</v>
      </c>
      <c r="E79" s="4" t="s">
        <v>14</v>
      </c>
      <c r="M79" s="4"/>
    </row>
    <row r="80" spans="1:13">
      <c r="A80" s="4" t="s">
        <v>227</v>
      </c>
      <c r="B80" s="4" t="s">
        <v>0</v>
      </c>
      <c r="C80" s="4">
        <v>121</v>
      </c>
      <c r="D80" s="4">
        <v>6.5</v>
      </c>
      <c r="E80" s="4" t="s">
        <v>14</v>
      </c>
      <c r="M80" s="4"/>
    </row>
    <row r="81" spans="1:13">
      <c r="A81" s="4" t="s">
        <v>219</v>
      </c>
      <c r="B81" s="4" t="s">
        <v>5</v>
      </c>
      <c r="C81" s="4">
        <v>121</v>
      </c>
      <c r="D81" s="4">
        <v>8.5</v>
      </c>
      <c r="E81" s="4" t="s">
        <v>16</v>
      </c>
      <c r="M81" s="4"/>
    </row>
    <row r="82" spans="1:13">
      <c r="A82" s="4" t="s">
        <v>34</v>
      </c>
      <c r="B82" s="4" t="s">
        <v>7</v>
      </c>
      <c r="C82" s="4">
        <v>119</v>
      </c>
      <c r="D82" s="4">
        <v>7.5</v>
      </c>
      <c r="E82" s="4" t="s">
        <v>15</v>
      </c>
      <c r="M82" s="4"/>
    </row>
    <row r="83" spans="1:13">
      <c r="A83" s="4" t="s">
        <v>91</v>
      </c>
      <c r="B83" s="4" t="s">
        <v>3</v>
      </c>
      <c r="C83" s="4">
        <v>117</v>
      </c>
      <c r="D83" s="4">
        <v>7</v>
      </c>
      <c r="E83" s="4" t="s">
        <v>16</v>
      </c>
      <c r="M83" s="4"/>
    </row>
    <row r="84" spans="1:13">
      <c r="A84" s="4" t="s">
        <v>47</v>
      </c>
      <c r="B84" s="4" t="s">
        <v>6</v>
      </c>
      <c r="C84" s="4">
        <v>117</v>
      </c>
      <c r="D84" s="4">
        <v>5.5</v>
      </c>
      <c r="E84" s="4" t="s">
        <v>13</v>
      </c>
      <c r="M84" s="4"/>
    </row>
    <row r="85" spans="1:13">
      <c r="A85" s="4" t="s">
        <v>220</v>
      </c>
      <c r="B85" s="4" t="s">
        <v>0</v>
      </c>
      <c r="C85" s="4">
        <v>117</v>
      </c>
      <c r="D85" s="4">
        <v>8.5</v>
      </c>
      <c r="E85" s="4" t="s">
        <v>15</v>
      </c>
      <c r="M85" s="4"/>
    </row>
    <row r="86" spans="1:13">
      <c r="A86" s="4" t="s">
        <v>139</v>
      </c>
      <c r="B86" s="4" t="s">
        <v>11</v>
      </c>
      <c r="C86" s="4">
        <v>115</v>
      </c>
      <c r="D86" s="4">
        <v>5</v>
      </c>
      <c r="E86" s="4" t="s">
        <v>14</v>
      </c>
      <c r="M86" s="4"/>
    </row>
    <row r="87" spans="1:13">
      <c r="A87" s="4" t="s">
        <v>61</v>
      </c>
      <c r="B87" s="4" t="s">
        <v>2</v>
      </c>
      <c r="C87" s="4">
        <v>114</v>
      </c>
      <c r="D87" s="4">
        <v>6</v>
      </c>
      <c r="E87" s="4" t="s">
        <v>13</v>
      </c>
      <c r="M87" s="4"/>
    </row>
    <row r="88" spans="1:13">
      <c r="A88" s="4" t="s">
        <v>119</v>
      </c>
      <c r="B88" s="4" t="s">
        <v>12</v>
      </c>
      <c r="C88" s="4">
        <v>114</v>
      </c>
      <c r="D88" s="4">
        <v>6.5</v>
      </c>
      <c r="E88" s="4" t="s">
        <v>16</v>
      </c>
      <c r="M88" s="4"/>
    </row>
    <row r="89" spans="1:13">
      <c r="A89" s="4" t="s">
        <v>50</v>
      </c>
      <c r="B89" s="4" t="s">
        <v>7</v>
      </c>
      <c r="C89" s="4">
        <v>114</v>
      </c>
      <c r="D89" s="4">
        <v>6</v>
      </c>
      <c r="E89" s="4" t="s">
        <v>14</v>
      </c>
      <c r="M89" s="4"/>
    </row>
    <row r="90" spans="1:13">
      <c r="A90" s="4" t="s">
        <v>103</v>
      </c>
      <c r="B90" s="4" t="s">
        <v>10</v>
      </c>
      <c r="C90" s="4">
        <v>113</v>
      </c>
      <c r="D90" s="4">
        <v>8.5</v>
      </c>
      <c r="E90" s="4" t="s">
        <v>16</v>
      </c>
      <c r="M90" s="4"/>
    </row>
    <row r="91" spans="1:13">
      <c r="A91" s="4" t="s">
        <v>94</v>
      </c>
      <c r="B91" s="4" t="s">
        <v>12</v>
      </c>
      <c r="C91" s="4">
        <v>113</v>
      </c>
      <c r="D91" s="4">
        <v>5.5</v>
      </c>
      <c r="E91" s="4" t="s">
        <v>14</v>
      </c>
      <c r="M91" s="4"/>
    </row>
    <row r="92" spans="1:13">
      <c r="A92" s="4" t="s">
        <v>110</v>
      </c>
      <c r="B92" s="4" t="s">
        <v>9</v>
      </c>
      <c r="C92" s="4">
        <v>112</v>
      </c>
      <c r="D92" s="4">
        <v>5.5</v>
      </c>
      <c r="E92" s="4" t="s">
        <v>14</v>
      </c>
      <c r="M92" s="4"/>
    </row>
    <row r="93" spans="1:13">
      <c r="A93" s="4" t="s">
        <v>69</v>
      </c>
      <c r="B93" s="4" t="s">
        <v>11</v>
      </c>
      <c r="C93" s="4">
        <v>112</v>
      </c>
      <c r="D93" s="4">
        <v>6</v>
      </c>
      <c r="E93" s="4" t="s">
        <v>15</v>
      </c>
      <c r="M93" s="4"/>
    </row>
    <row r="94" spans="1:13">
      <c r="A94" s="4" t="s">
        <v>77</v>
      </c>
      <c r="B94" s="4" t="s">
        <v>4</v>
      </c>
      <c r="C94" s="4">
        <v>111</v>
      </c>
      <c r="D94" s="4">
        <v>6</v>
      </c>
      <c r="E94" s="4" t="s">
        <v>14</v>
      </c>
      <c r="M94" s="4"/>
    </row>
    <row r="95" spans="1:13">
      <c r="A95" s="4" t="s">
        <v>108</v>
      </c>
      <c r="B95" s="4" t="s">
        <v>25</v>
      </c>
      <c r="C95" s="4">
        <v>111</v>
      </c>
      <c r="D95" s="4">
        <v>5.5</v>
      </c>
      <c r="E95" s="4" t="s">
        <v>14</v>
      </c>
      <c r="M95" s="4"/>
    </row>
    <row r="96" spans="1:13">
      <c r="A96" s="4" t="s">
        <v>99</v>
      </c>
      <c r="B96" s="4" t="s">
        <v>25</v>
      </c>
      <c r="C96" s="4">
        <v>110</v>
      </c>
      <c r="D96" s="4">
        <v>6</v>
      </c>
      <c r="E96" s="4" t="s">
        <v>15</v>
      </c>
      <c r="M96" s="4"/>
    </row>
    <row r="97" spans="1:13">
      <c r="A97" s="4" t="s">
        <v>244</v>
      </c>
      <c r="B97" s="4" t="s">
        <v>30</v>
      </c>
      <c r="C97" s="4">
        <v>110</v>
      </c>
      <c r="D97" s="4">
        <v>5.5</v>
      </c>
      <c r="E97" s="4" t="s">
        <v>15</v>
      </c>
      <c r="M97" s="4"/>
    </row>
    <row r="98" spans="1:13">
      <c r="A98" s="4" t="s">
        <v>175</v>
      </c>
      <c r="B98" s="4" t="s">
        <v>2</v>
      </c>
      <c r="C98" s="4">
        <v>110</v>
      </c>
      <c r="D98" s="4">
        <v>6</v>
      </c>
      <c r="E98" s="4" t="s">
        <v>14</v>
      </c>
      <c r="M98" s="4"/>
    </row>
    <row r="99" spans="1:13">
      <c r="A99" s="4" t="s">
        <v>157</v>
      </c>
      <c r="B99" s="4" t="s">
        <v>6</v>
      </c>
      <c r="C99" s="4">
        <v>109</v>
      </c>
      <c r="D99" s="4">
        <v>5</v>
      </c>
      <c r="E99" s="4" t="s">
        <v>14</v>
      </c>
      <c r="M99" s="4"/>
    </row>
    <row r="100" spans="1:13">
      <c r="A100" s="4" t="s">
        <v>135</v>
      </c>
      <c r="B100" s="4" t="s">
        <v>8</v>
      </c>
      <c r="C100" s="4">
        <v>109</v>
      </c>
      <c r="D100" s="4">
        <v>6</v>
      </c>
      <c r="E100" s="4" t="s">
        <v>15</v>
      </c>
      <c r="M100" s="4"/>
    </row>
    <row r="101" spans="1:13">
      <c r="A101" s="4" t="s">
        <v>245</v>
      </c>
      <c r="B101" s="4" t="s">
        <v>8</v>
      </c>
      <c r="C101" s="4">
        <v>109</v>
      </c>
      <c r="D101" s="4">
        <v>5</v>
      </c>
      <c r="E101" s="4" t="s">
        <v>14</v>
      </c>
      <c r="M101" s="4"/>
    </row>
    <row r="102" spans="1:13">
      <c r="A102" s="4" t="s">
        <v>246</v>
      </c>
      <c r="B102" s="4" t="s">
        <v>30</v>
      </c>
      <c r="C102" s="4">
        <v>108</v>
      </c>
      <c r="D102" s="4">
        <v>6</v>
      </c>
      <c r="E102" s="4" t="s">
        <v>16</v>
      </c>
      <c r="M102" s="4"/>
    </row>
    <row r="103" spans="1:13">
      <c r="A103" s="4" t="s">
        <v>159</v>
      </c>
      <c r="B103" s="4" t="s">
        <v>8</v>
      </c>
      <c r="C103" s="4">
        <v>108</v>
      </c>
      <c r="D103" s="4">
        <v>6</v>
      </c>
      <c r="E103" s="4" t="s">
        <v>16</v>
      </c>
      <c r="M103" s="4"/>
    </row>
    <row r="104" spans="1:13">
      <c r="A104" s="4" t="s">
        <v>247</v>
      </c>
      <c r="B104" s="4" t="s">
        <v>30</v>
      </c>
      <c r="C104" s="4">
        <v>108</v>
      </c>
      <c r="D104" s="4">
        <v>5.5</v>
      </c>
      <c r="E104" s="4" t="s">
        <v>15</v>
      </c>
      <c r="M104" s="4"/>
    </row>
    <row r="105" spans="1:13">
      <c r="A105" s="4" t="s">
        <v>248</v>
      </c>
      <c r="B105" s="4" t="s">
        <v>3</v>
      </c>
      <c r="C105" s="4">
        <v>106</v>
      </c>
      <c r="D105" s="4">
        <v>5</v>
      </c>
      <c r="E105" s="4" t="s">
        <v>13</v>
      </c>
      <c r="M105" s="4"/>
    </row>
    <row r="106" spans="1:13">
      <c r="A106" s="4" t="s">
        <v>49</v>
      </c>
      <c r="B106" s="4" t="s">
        <v>12</v>
      </c>
      <c r="C106" s="4">
        <v>105</v>
      </c>
      <c r="D106" s="4">
        <v>5</v>
      </c>
      <c r="E106" s="4" t="s">
        <v>13</v>
      </c>
      <c r="M106" s="4"/>
    </row>
    <row r="107" spans="1:13">
      <c r="A107" s="4" t="s">
        <v>191</v>
      </c>
      <c r="B107" s="4" t="s">
        <v>3</v>
      </c>
      <c r="C107" s="4">
        <v>105</v>
      </c>
      <c r="D107" s="4">
        <v>6</v>
      </c>
      <c r="E107" s="4" t="s">
        <v>16</v>
      </c>
      <c r="M107" s="4"/>
    </row>
    <row r="108" spans="1:13">
      <c r="A108" s="4" t="s">
        <v>156</v>
      </c>
      <c r="B108" s="4" t="s">
        <v>11</v>
      </c>
      <c r="C108" s="4">
        <v>104</v>
      </c>
      <c r="D108" s="4">
        <v>5.5</v>
      </c>
      <c r="E108" s="4" t="s">
        <v>15</v>
      </c>
      <c r="M108" s="4"/>
    </row>
    <row r="109" spans="1:13">
      <c r="A109" s="4" t="s">
        <v>88</v>
      </c>
      <c r="B109" s="4" t="s">
        <v>24</v>
      </c>
      <c r="C109" s="4">
        <v>104</v>
      </c>
      <c r="D109" s="4">
        <v>5.5</v>
      </c>
      <c r="E109" s="4" t="s">
        <v>15</v>
      </c>
      <c r="M109" s="4"/>
    </row>
    <row r="110" spans="1:13">
      <c r="A110" s="4" t="s">
        <v>249</v>
      </c>
      <c r="B110" s="4" t="s">
        <v>24</v>
      </c>
      <c r="C110" s="4">
        <v>103</v>
      </c>
      <c r="D110" s="4">
        <v>4.5</v>
      </c>
      <c r="E110" s="4" t="s">
        <v>14</v>
      </c>
      <c r="M110" s="4"/>
    </row>
    <row r="111" spans="1:13">
      <c r="A111" s="4" t="s">
        <v>104</v>
      </c>
      <c r="B111" s="4" t="s">
        <v>24</v>
      </c>
      <c r="C111" s="4">
        <v>103</v>
      </c>
      <c r="D111" s="4">
        <v>5.5</v>
      </c>
      <c r="E111" s="4" t="s">
        <v>15</v>
      </c>
      <c r="M111" s="4"/>
    </row>
    <row r="112" spans="1:13">
      <c r="A112" s="4" t="s">
        <v>176</v>
      </c>
      <c r="B112" s="4" t="s">
        <v>29</v>
      </c>
      <c r="C112" s="4">
        <v>103</v>
      </c>
      <c r="D112" s="4">
        <v>5</v>
      </c>
      <c r="E112" s="4" t="s">
        <v>14</v>
      </c>
      <c r="M112" s="4"/>
    </row>
    <row r="113" spans="1:13">
      <c r="A113" s="4" t="s">
        <v>75</v>
      </c>
      <c r="B113" s="4" t="s">
        <v>25</v>
      </c>
      <c r="C113" s="4">
        <v>102</v>
      </c>
      <c r="D113" s="4">
        <v>5.5</v>
      </c>
      <c r="E113" s="4" t="s">
        <v>15</v>
      </c>
      <c r="M113" s="4"/>
    </row>
    <row r="114" spans="1:13">
      <c r="A114" s="4" t="s">
        <v>53</v>
      </c>
      <c r="B114" s="4" t="s">
        <v>5</v>
      </c>
      <c r="C114" s="4">
        <v>102</v>
      </c>
      <c r="D114" s="4">
        <v>5.5</v>
      </c>
      <c r="E114" s="4" t="s">
        <v>13</v>
      </c>
      <c r="M114" s="4"/>
    </row>
    <row r="115" spans="1:13">
      <c r="A115" s="4" t="s">
        <v>118</v>
      </c>
      <c r="B115" s="4" t="s">
        <v>2</v>
      </c>
      <c r="C115" s="4">
        <v>101</v>
      </c>
      <c r="D115" s="4">
        <v>6</v>
      </c>
      <c r="E115" s="4" t="s">
        <v>15</v>
      </c>
      <c r="M115" s="4"/>
    </row>
    <row r="116" spans="1:13">
      <c r="A116" s="4" t="s">
        <v>98</v>
      </c>
      <c r="B116" s="4" t="s">
        <v>0</v>
      </c>
      <c r="C116" s="4">
        <v>101</v>
      </c>
      <c r="D116" s="4">
        <v>6.5</v>
      </c>
      <c r="E116" s="4" t="s">
        <v>15</v>
      </c>
      <c r="M116" s="4"/>
    </row>
    <row r="117" spans="1:13">
      <c r="A117" s="4" t="s">
        <v>250</v>
      </c>
      <c r="B117" s="4" t="s">
        <v>0</v>
      </c>
      <c r="C117" s="4">
        <v>100</v>
      </c>
      <c r="D117" s="4">
        <v>6</v>
      </c>
      <c r="E117" s="4" t="s">
        <v>14</v>
      </c>
      <c r="M117" s="4"/>
    </row>
    <row r="118" spans="1:13">
      <c r="A118" s="4" t="s">
        <v>148</v>
      </c>
      <c r="B118" s="4" t="s">
        <v>1</v>
      </c>
      <c r="C118" s="4">
        <v>100</v>
      </c>
      <c r="D118" s="4">
        <v>6</v>
      </c>
      <c r="E118" s="4" t="s">
        <v>15</v>
      </c>
      <c r="M118" s="4"/>
    </row>
    <row r="119" spans="1:13">
      <c r="A119" s="4" t="s">
        <v>72</v>
      </c>
      <c r="B119" s="4" t="s">
        <v>25</v>
      </c>
      <c r="C119" s="4">
        <v>100</v>
      </c>
      <c r="D119" s="4">
        <v>5</v>
      </c>
      <c r="E119" s="4" t="s">
        <v>14</v>
      </c>
      <c r="M119" s="4"/>
    </row>
    <row r="120" spans="1:13">
      <c r="A120" s="4" t="s">
        <v>251</v>
      </c>
      <c r="B120" s="4" t="s">
        <v>25</v>
      </c>
      <c r="C120" s="4">
        <v>99</v>
      </c>
      <c r="D120" s="4">
        <v>5</v>
      </c>
      <c r="E120" s="4" t="s">
        <v>14</v>
      </c>
      <c r="M120" s="4"/>
    </row>
    <row r="121" spans="1:13">
      <c r="A121" s="4" t="s">
        <v>252</v>
      </c>
      <c r="B121" s="4" t="s">
        <v>2</v>
      </c>
      <c r="C121" s="4">
        <v>99</v>
      </c>
      <c r="D121" s="4">
        <v>5.5</v>
      </c>
      <c r="E121" s="4" t="s">
        <v>14</v>
      </c>
      <c r="M121" s="4"/>
    </row>
    <row r="122" spans="1:13">
      <c r="A122" s="4" t="s">
        <v>161</v>
      </c>
      <c r="B122" s="4" t="s">
        <v>6</v>
      </c>
      <c r="C122" s="4">
        <v>99</v>
      </c>
      <c r="D122" s="4">
        <v>7.5</v>
      </c>
      <c r="E122" s="4" t="s">
        <v>16</v>
      </c>
      <c r="M122" s="4"/>
    </row>
    <row r="123" spans="1:13">
      <c r="A123" s="4" t="s">
        <v>70</v>
      </c>
      <c r="B123" s="4" t="s">
        <v>1</v>
      </c>
      <c r="C123" s="4">
        <v>99</v>
      </c>
      <c r="D123" s="4">
        <v>9</v>
      </c>
      <c r="E123" s="4" t="s">
        <v>16</v>
      </c>
      <c r="M123" s="4"/>
    </row>
    <row r="124" spans="1:13">
      <c r="A124" s="4" t="s">
        <v>209</v>
      </c>
      <c r="B124" s="4" t="s">
        <v>29</v>
      </c>
      <c r="C124" s="4">
        <v>98</v>
      </c>
      <c r="D124" s="4">
        <v>5.5</v>
      </c>
      <c r="E124" s="4" t="s">
        <v>15</v>
      </c>
      <c r="M124" s="4"/>
    </row>
    <row r="125" spans="1:13">
      <c r="A125" s="4" t="s">
        <v>112</v>
      </c>
      <c r="B125" s="4" t="s">
        <v>24</v>
      </c>
      <c r="C125" s="4">
        <v>97</v>
      </c>
      <c r="D125" s="4">
        <v>5</v>
      </c>
      <c r="E125" s="4" t="s">
        <v>15</v>
      </c>
      <c r="M125" s="4"/>
    </row>
    <row r="126" spans="1:13">
      <c r="A126" s="4" t="s">
        <v>113</v>
      </c>
      <c r="B126" s="4" t="s">
        <v>11</v>
      </c>
      <c r="C126" s="4">
        <v>97</v>
      </c>
      <c r="D126" s="4">
        <v>5.5</v>
      </c>
      <c r="E126" s="4" t="s">
        <v>15</v>
      </c>
      <c r="M126" s="4"/>
    </row>
    <row r="127" spans="1:13">
      <c r="A127" s="4" t="s">
        <v>253</v>
      </c>
      <c r="B127" s="4" t="s">
        <v>7</v>
      </c>
      <c r="C127" s="4">
        <v>96</v>
      </c>
      <c r="D127" s="4">
        <v>6</v>
      </c>
      <c r="E127" s="4" t="s">
        <v>13</v>
      </c>
      <c r="M127" s="4"/>
    </row>
    <row r="128" spans="1:13">
      <c r="A128" s="4" t="s">
        <v>254</v>
      </c>
      <c r="B128" s="4" t="s">
        <v>24</v>
      </c>
      <c r="C128" s="4">
        <v>96</v>
      </c>
      <c r="D128" s="4">
        <v>5</v>
      </c>
      <c r="E128" s="4" t="s">
        <v>14</v>
      </c>
      <c r="M128" s="4"/>
    </row>
    <row r="129" spans="1:13">
      <c r="A129" s="4" t="s">
        <v>137</v>
      </c>
      <c r="B129" s="4" t="s">
        <v>4</v>
      </c>
      <c r="C129" s="4">
        <v>96</v>
      </c>
      <c r="D129" s="4">
        <v>6</v>
      </c>
      <c r="E129" s="4" t="s">
        <v>15</v>
      </c>
      <c r="M129" s="4"/>
    </row>
    <row r="130" spans="1:13">
      <c r="A130" s="4" t="s">
        <v>255</v>
      </c>
      <c r="B130" s="4" t="s">
        <v>6</v>
      </c>
      <c r="C130" s="4">
        <v>96</v>
      </c>
      <c r="D130" s="4">
        <v>7.5</v>
      </c>
      <c r="E130" s="4" t="s">
        <v>15</v>
      </c>
      <c r="M130" s="4"/>
    </row>
    <row r="131" spans="1:13">
      <c r="A131" s="4" t="s">
        <v>185</v>
      </c>
      <c r="B131" s="4" t="s">
        <v>6</v>
      </c>
      <c r="C131" s="4">
        <v>95</v>
      </c>
      <c r="D131" s="4">
        <v>5.5</v>
      </c>
      <c r="E131" s="4" t="s">
        <v>16</v>
      </c>
      <c r="M131" s="4"/>
    </row>
    <row r="132" spans="1:13">
      <c r="A132" s="4" t="s">
        <v>122</v>
      </c>
      <c r="B132" s="4" t="s">
        <v>1</v>
      </c>
      <c r="C132" s="4">
        <v>95</v>
      </c>
      <c r="D132" s="4">
        <v>6</v>
      </c>
      <c r="E132" s="4" t="s">
        <v>15</v>
      </c>
      <c r="M132" s="4"/>
    </row>
    <row r="133" spans="1:13">
      <c r="A133" s="4" t="s">
        <v>79</v>
      </c>
      <c r="B133" s="4" t="s">
        <v>8</v>
      </c>
      <c r="C133" s="4">
        <v>95</v>
      </c>
      <c r="D133" s="4">
        <v>5</v>
      </c>
      <c r="E133" s="4" t="s">
        <v>14</v>
      </c>
      <c r="M133" s="4"/>
    </row>
    <row r="134" spans="1:13">
      <c r="A134" s="4" t="s">
        <v>67</v>
      </c>
      <c r="B134" s="4" t="s">
        <v>10</v>
      </c>
      <c r="C134" s="4">
        <v>94</v>
      </c>
      <c r="D134" s="4">
        <v>6.5</v>
      </c>
      <c r="E134" s="4" t="s">
        <v>15</v>
      </c>
      <c r="M134" s="4"/>
    </row>
    <row r="135" spans="1:13" s="4" customFormat="1">
      <c r="A135" s="4" t="s">
        <v>141</v>
      </c>
      <c r="B135" s="4" t="s">
        <v>0</v>
      </c>
      <c r="C135" s="4">
        <v>94</v>
      </c>
      <c r="D135" s="4">
        <v>6</v>
      </c>
      <c r="E135" s="4" t="s">
        <v>14</v>
      </c>
    </row>
    <row r="136" spans="1:13">
      <c r="A136" s="4" t="s">
        <v>142</v>
      </c>
      <c r="B136" s="4" t="s">
        <v>29</v>
      </c>
      <c r="C136" s="4">
        <v>94</v>
      </c>
      <c r="D136" s="4">
        <v>7.5</v>
      </c>
      <c r="E136" s="4" t="s">
        <v>16</v>
      </c>
      <c r="M136" s="4"/>
    </row>
    <row r="137" spans="1:13">
      <c r="A137" s="4" t="s">
        <v>167</v>
      </c>
      <c r="B137" s="4" t="s">
        <v>5</v>
      </c>
      <c r="C137" s="4">
        <v>93</v>
      </c>
      <c r="D137" s="4">
        <v>5.5</v>
      </c>
      <c r="E137" s="4" t="s">
        <v>14</v>
      </c>
      <c r="I137" s="5"/>
      <c r="J137" s="5"/>
      <c r="K137" s="4"/>
      <c r="L137" s="5"/>
      <c r="M137" s="4"/>
    </row>
    <row r="138" spans="1:13">
      <c r="A138" s="4" t="s">
        <v>217</v>
      </c>
      <c r="B138" s="4" t="s">
        <v>30</v>
      </c>
      <c r="C138" s="4">
        <v>93</v>
      </c>
      <c r="D138" s="4">
        <v>6</v>
      </c>
      <c r="E138" s="4" t="s">
        <v>15</v>
      </c>
      <c r="M138" s="4"/>
    </row>
    <row r="139" spans="1:13">
      <c r="A139" s="4" t="s">
        <v>256</v>
      </c>
      <c r="B139" s="4" t="s">
        <v>3</v>
      </c>
      <c r="C139" s="4">
        <v>93</v>
      </c>
      <c r="D139" s="4">
        <v>5</v>
      </c>
      <c r="E139" s="4" t="s">
        <v>14</v>
      </c>
      <c r="M139" s="4"/>
    </row>
    <row r="140" spans="1:13">
      <c r="A140" s="4" t="s">
        <v>150</v>
      </c>
      <c r="B140" s="4" t="s">
        <v>9</v>
      </c>
      <c r="C140" s="4">
        <v>93</v>
      </c>
      <c r="D140" s="4">
        <v>5.5</v>
      </c>
      <c r="E140" s="4" t="s">
        <v>15</v>
      </c>
      <c r="M140" s="4"/>
    </row>
    <row r="141" spans="1:13">
      <c r="A141" s="4" t="s">
        <v>105</v>
      </c>
      <c r="B141" s="4" t="s">
        <v>12</v>
      </c>
      <c r="C141" s="4">
        <v>92</v>
      </c>
      <c r="D141" s="4">
        <v>5.5</v>
      </c>
      <c r="E141" s="4" t="s">
        <v>15</v>
      </c>
      <c r="M141" s="4"/>
    </row>
    <row r="142" spans="1:13">
      <c r="A142" s="4" t="s">
        <v>257</v>
      </c>
      <c r="B142" s="4" t="s">
        <v>9</v>
      </c>
      <c r="C142" s="4">
        <v>92</v>
      </c>
      <c r="D142" s="4">
        <v>5</v>
      </c>
      <c r="E142" s="4" t="s">
        <v>14</v>
      </c>
      <c r="M142" s="4"/>
    </row>
    <row r="143" spans="1:13">
      <c r="A143" s="4" t="s">
        <v>93</v>
      </c>
      <c r="B143" s="4" t="s">
        <v>2</v>
      </c>
      <c r="C143" s="4">
        <v>92</v>
      </c>
      <c r="D143" s="4">
        <v>5.5</v>
      </c>
      <c r="E143" s="4" t="s">
        <v>14</v>
      </c>
      <c r="M143" s="4"/>
    </row>
    <row r="144" spans="1:13">
      <c r="A144" s="4" t="s">
        <v>99</v>
      </c>
      <c r="B144" s="4" t="s">
        <v>2</v>
      </c>
      <c r="C144" s="4">
        <v>92</v>
      </c>
      <c r="D144" s="4">
        <v>7.5</v>
      </c>
      <c r="E144" s="4" t="s">
        <v>16</v>
      </c>
      <c r="M144" s="4"/>
    </row>
    <row r="145" spans="1:13">
      <c r="A145" s="4" t="s">
        <v>258</v>
      </c>
      <c r="B145" s="4" t="s">
        <v>29</v>
      </c>
      <c r="C145" s="4">
        <v>92</v>
      </c>
      <c r="D145" s="4">
        <v>5.5</v>
      </c>
      <c r="E145" s="4" t="s">
        <v>15</v>
      </c>
      <c r="M145" s="4"/>
    </row>
    <row r="146" spans="1:13">
      <c r="A146" s="4" t="s">
        <v>44</v>
      </c>
      <c r="B146" s="4" t="s">
        <v>25</v>
      </c>
      <c r="C146" s="4">
        <v>92</v>
      </c>
      <c r="D146" s="4">
        <v>5</v>
      </c>
      <c r="E146" s="4" t="s">
        <v>13</v>
      </c>
      <c r="M146" s="4"/>
    </row>
    <row r="147" spans="1:13">
      <c r="A147" s="4" t="s">
        <v>230</v>
      </c>
      <c r="B147" s="4" t="s">
        <v>29</v>
      </c>
      <c r="C147" s="4">
        <v>91</v>
      </c>
      <c r="D147" s="4">
        <v>5</v>
      </c>
      <c r="E147" s="4" t="s">
        <v>14</v>
      </c>
      <c r="M147" s="4"/>
    </row>
    <row r="148" spans="1:13">
      <c r="A148" s="4" t="s">
        <v>48</v>
      </c>
      <c r="B148" s="4" t="s">
        <v>4</v>
      </c>
      <c r="C148" s="4">
        <v>91</v>
      </c>
      <c r="D148" s="4">
        <v>6.5</v>
      </c>
      <c r="E148" s="4" t="s">
        <v>14</v>
      </c>
      <c r="M148" s="4"/>
    </row>
    <row r="149" spans="1:13">
      <c r="A149" s="4" t="s">
        <v>132</v>
      </c>
      <c r="B149" s="4" t="s">
        <v>29</v>
      </c>
      <c r="C149" s="4">
        <v>90</v>
      </c>
      <c r="D149" s="4">
        <v>4.5</v>
      </c>
      <c r="E149" s="4" t="s">
        <v>14</v>
      </c>
      <c r="M149" s="4"/>
    </row>
    <row r="150" spans="1:13">
      <c r="A150" s="4" t="s">
        <v>208</v>
      </c>
      <c r="B150" s="4" t="s">
        <v>30</v>
      </c>
      <c r="C150" s="4">
        <v>89</v>
      </c>
      <c r="D150" s="4">
        <v>4.5</v>
      </c>
      <c r="E150" s="4" t="s">
        <v>14</v>
      </c>
      <c r="M150" s="4"/>
    </row>
    <row r="151" spans="1:13">
      <c r="A151" s="4" t="s">
        <v>106</v>
      </c>
      <c r="B151" s="4" t="s">
        <v>5</v>
      </c>
      <c r="C151" s="4">
        <v>88</v>
      </c>
      <c r="D151" s="4">
        <v>5.5</v>
      </c>
      <c r="E151" s="4" t="s">
        <v>14</v>
      </c>
      <c r="M151" s="4"/>
    </row>
    <row r="152" spans="1:13">
      <c r="A152" s="4" t="s">
        <v>259</v>
      </c>
      <c r="B152" s="4" t="s">
        <v>30</v>
      </c>
      <c r="C152" s="4">
        <v>88</v>
      </c>
      <c r="D152" s="4">
        <v>6</v>
      </c>
      <c r="E152" s="4" t="s">
        <v>15</v>
      </c>
      <c r="G152" s="1"/>
      <c r="H152" s="1"/>
      <c r="I152" s="1"/>
      <c r="J152" s="1"/>
      <c r="M152" s="4"/>
    </row>
    <row r="153" spans="1:13">
      <c r="A153" s="4" t="s">
        <v>86</v>
      </c>
      <c r="B153" s="4" t="s">
        <v>1</v>
      </c>
      <c r="C153" s="4">
        <v>88</v>
      </c>
      <c r="D153" s="4">
        <v>5.5</v>
      </c>
      <c r="E153" s="4" t="s">
        <v>14</v>
      </c>
      <c r="G153" s="1"/>
      <c r="H153" s="1"/>
      <c r="I153" s="1"/>
      <c r="J153" s="1"/>
      <c r="M153" s="4"/>
    </row>
    <row r="154" spans="1:13">
      <c r="A154" s="4" t="s">
        <v>143</v>
      </c>
      <c r="B154" s="4" t="s">
        <v>4</v>
      </c>
      <c r="C154" s="4">
        <v>87</v>
      </c>
      <c r="D154" s="4">
        <v>5.5</v>
      </c>
      <c r="E154" s="4" t="s">
        <v>15</v>
      </c>
      <c r="G154" s="1"/>
      <c r="H154" s="1"/>
      <c r="I154" s="1"/>
      <c r="J154" s="1"/>
      <c r="M154" s="4"/>
    </row>
    <row r="155" spans="1:13">
      <c r="A155" s="4" t="s">
        <v>169</v>
      </c>
      <c r="B155" s="4" t="s">
        <v>29</v>
      </c>
      <c r="C155" s="4">
        <v>87</v>
      </c>
      <c r="D155" s="4">
        <v>5</v>
      </c>
      <c r="E155" s="4" t="s">
        <v>15</v>
      </c>
      <c r="G155" s="1"/>
      <c r="H155" s="1"/>
      <c r="I155" s="1"/>
      <c r="J155" s="1"/>
      <c r="M155" s="4"/>
    </row>
    <row r="156" spans="1:13">
      <c r="A156" s="4" t="s">
        <v>203</v>
      </c>
      <c r="B156" s="4" t="s">
        <v>2</v>
      </c>
      <c r="C156" s="4">
        <v>87</v>
      </c>
      <c r="D156" s="4">
        <v>8</v>
      </c>
      <c r="E156" s="4" t="s">
        <v>15</v>
      </c>
      <c r="G156" s="1"/>
      <c r="H156" s="1"/>
      <c r="I156" s="1"/>
      <c r="J156" s="1"/>
      <c r="M156" s="4"/>
    </row>
    <row r="157" spans="1:13">
      <c r="A157" s="4" t="s">
        <v>100</v>
      </c>
      <c r="B157" s="4" t="s">
        <v>12</v>
      </c>
      <c r="C157" s="4">
        <v>87</v>
      </c>
      <c r="D157" s="4">
        <v>5</v>
      </c>
      <c r="E157" s="4" t="s">
        <v>14</v>
      </c>
      <c r="G157" s="1"/>
      <c r="H157" s="1"/>
      <c r="I157" s="1"/>
      <c r="J157" s="1"/>
      <c r="M157" s="4"/>
    </row>
    <row r="158" spans="1:13">
      <c r="A158" s="4" t="s">
        <v>63</v>
      </c>
      <c r="B158" s="4" t="s">
        <v>4</v>
      </c>
      <c r="C158" s="4">
        <v>86</v>
      </c>
      <c r="D158" s="4">
        <v>8</v>
      </c>
      <c r="E158" s="4" t="s">
        <v>15</v>
      </c>
      <c r="G158" s="1"/>
      <c r="H158" s="1"/>
      <c r="I158" s="1"/>
      <c r="J158" s="1"/>
      <c r="M158" s="4"/>
    </row>
    <row r="159" spans="1:13">
      <c r="A159" s="4" t="s">
        <v>153</v>
      </c>
      <c r="B159" s="4" t="s">
        <v>24</v>
      </c>
      <c r="C159" s="4">
        <v>86</v>
      </c>
      <c r="D159" s="4">
        <v>4.5</v>
      </c>
      <c r="E159" s="4" t="s">
        <v>14</v>
      </c>
      <c r="G159" s="1"/>
      <c r="H159" s="1"/>
      <c r="I159" s="1"/>
      <c r="J159" s="1"/>
      <c r="M159" s="4"/>
    </row>
    <row r="160" spans="1:13">
      <c r="A160" s="4" t="s">
        <v>51</v>
      </c>
      <c r="B160" s="4" t="s">
        <v>2</v>
      </c>
      <c r="C160" s="4">
        <v>86</v>
      </c>
      <c r="D160" s="4">
        <v>7.5</v>
      </c>
      <c r="E160" s="4" t="s">
        <v>15</v>
      </c>
      <c r="G160" s="1"/>
      <c r="H160" s="1"/>
      <c r="I160" s="1"/>
      <c r="J160" s="1"/>
      <c r="M160" s="4"/>
    </row>
    <row r="161" spans="1:13">
      <c r="A161" s="4" t="s">
        <v>111</v>
      </c>
      <c r="B161" s="4" t="s">
        <v>9</v>
      </c>
      <c r="C161" s="4">
        <v>85</v>
      </c>
      <c r="D161" s="4">
        <v>6</v>
      </c>
      <c r="E161" s="4" t="s">
        <v>15</v>
      </c>
      <c r="G161" s="1"/>
      <c r="H161" s="1"/>
      <c r="I161" s="1"/>
      <c r="J161" s="1"/>
      <c r="M161" s="4"/>
    </row>
    <row r="162" spans="1:13">
      <c r="A162" s="4" t="s">
        <v>168</v>
      </c>
      <c r="B162" s="4" t="s">
        <v>12</v>
      </c>
      <c r="C162" s="4">
        <v>85</v>
      </c>
      <c r="D162" s="4">
        <v>5</v>
      </c>
      <c r="E162" s="4" t="s">
        <v>14</v>
      </c>
      <c r="G162" s="1"/>
      <c r="H162" s="1"/>
      <c r="I162" s="1"/>
      <c r="J162" s="1"/>
      <c r="M162" s="4"/>
    </row>
    <row r="163" spans="1:13">
      <c r="A163" s="4" t="s">
        <v>101</v>
      </c>
      <c r="B163" s="4" t="s">
        <v>5</v>
      </c>
      <c r="C163" s="4">
        <v>83</v>
      </c>
      <c r="D163" s="4">
        <v>5.5</v>
      </c>
      <c r="E163" s="4" t="s">
        <v>15</v>
      </c>
      <c r="G163" s="1"/>
      <c r="H163" s="1"/>
      <c r="I163" s="1"/>
      <c r="J163" s="1"/>
      <c r="M163" s="4"/>
    </row>
    <row r="164" spans="1:13">
      <c r="A164" s="4" t="s">
        <v>133</v>
      </c>
      <c r="B164" s="4" t="s">
        <v>5</v>
      </c>
      <c r="C164" s="4">
        <v>83</v>
      </c>
      <c r="D164" s="4">
        <v>5.5</v>
      </c>
      <c r="E164" s="4" t="s">
        <v>14</v>
      </c>
      <c r="G164" s="1"/>
      <c r="H164" s="1"/>
      <c r="I164" s="1"/>
      <c r="J164" s="1"/>
      <c r="M164" s="4"/>
    </row>
    <row r="165" spans="1:13">
      <c r="A165" s="4" t="s">
        <v>260</v>
      </c>
      <c r="B165" s="4" t="s">
        <v>8</v>
      </c>
      <c r="C165" s="4">
        <v>83</v>
      </c>
      <c r="D165" s="4">
        <v>5</v>
      </c>
      <c r="E165" s="4" t="s">
        <v>15</v>
      </c>
      <c r="G165" s="1"/>
      <c r="H165" s="1"/>
      <c r="I165" s="1"/>
      <c r="J165" s="1"/>
      <c r="M165" s="4"/>
    </row>
    <row r="166" spans="1:13">
      <c r="A166" s="4" t="s">
        <v>196</v>
      </c>
      <c r="B166" s="4" t="s">
        <v>3</v>
      </c>
      <c r="C166" s="4">
        <v>83</v>
      </c>
      <c r="D166" s="4">
        <v>5.5</v>
      </c>
      <c r="E166" s="4" t="s">
        <v>15</v>
      </c>
      <c r="G166" s="1"/>
      <c r="H166" s="1"/>
      <c r="I166" s="1"/>
      <c r="J166" s="1"/>
      <c r="M166" s="4"/>
    </row>
    <row r="167" spans="1:13">
      <c r="A167" s="4" t="s">
        <v>261</v>
      </c>
      <c r="B167" s="4" t="s">
        <v>4</v>
      </c>
      <c r="C167" s="4">
        <v>82</v>
      </c>
      <c r="D167" s="4">
        <v>5.5</v>
      </c>
      <c r="E167" s="4" t="s">
        <v>14</v>
      </c>
      <c r="G167" s="1"/>
      <c r="H167" s="1"/>
      <c r="I167" s="1"/>
      <c r="J167" s="1"/>
      <c r="M167" s="4"/>
    </row>
    <row r="168" spans="1:13">
      <c r="A168" s="4" t="s">
        <v>262</v>
      </c>
      <c r="B168" s="4" t="s">
        <v>1</v>
      </c>
      <c r="C168" s="4">
        <v>82</v>
      </c>
      <c r="D168" s="4">
        <v>5.5</v>
      </c>
      <c r="E168" s="4" t="s">
        <v>15</v>
      </c>
      <c r="G168" s="1"/>
      <c r="H168" s="1"/>
      <c r="I168" s="1"/>
      <c r="J168" s="1"/>
      <c r="M168" s="4"/>
    </row>
    <row r="169" spans="1:13">
      <c r="A169" s="4" t="s">
        <v>263</v>
      </c>
      <c r="B169" s="4" t="s">
        <v>9</v>
      </c>
      <c r="C169" s="4">
        <v>81</v>
      </c>
      <c r="D169" s="4">
        <v>5</v>
      </c>
      <c r="E169" s="4" t="s">
        <v>15</v>
      </c>
      <c r="G169" s="1"/>
      <c r="H169" s="1"/>
      <c r="I169" s="1"/>
      <c r="J169" s="1"/>
      <c r="M169" s="4"/>
    </row>
    <row r="170" spans="1:13">
      <c r="A170" s="4" t="s">
        <v>178</v>
      </c>
      <c r="B170" s="4" t="s">
        <v>11</v>
      </c>
      <c r="C170" s="4">
        <v>79</v>
      </c>
      <c r="D170" s="4">
        <v>4.5</v>
      </c>
      <c r="E170" s="4" t="s">
        <v>14</v>
      </c>
      <c r="G170" s="1"/>
      <c r="H170" s="1"/>
      <c r="I170" s="1"/>
      <c r="J170" s="1"/>
      <c r="M170" s="4"/>
    </row>
    <row r="171" spans="1:13">
      <c r="A171" s="4" t="s">
        <v>57</v>
      </c>
      <c r="B171" s="4" t="s">
        <v>235</v>
      </c>
      <c r="C171" s="4">
        <v>79</v>
      </c>
      <c r="D171" s="4">
        <v>5.5</v>
      </c>
      <c r="E171" s="4" t="s">
        <v>16</v>
      </c>
      <c r="G171" s="1"/>
      <c r="H171" s="1"/>
      <c r="I171" s="1"/>
      <c r="J171" s="1"/>
      <c r="M171" s="4"/>
    </row>
    <row r="172" spans="1:13">
      <c r="A172" s="4" t="s">
        <v>136</v>
      </c>
      <c r="B172" s="4" t="s">
        <v>7</v>
      </c>
      <c r="C172" s="4">
        <v>78</v>
      </c>
      <c r="D172" s="4">
        <v>5.5</v>
      </c>
      <c r="E172" s="4" t="s">
        <v>15</v>
      </c>
      <c r="G172" s="1"/>
      <c r="H172" s="1"/>
      <c r="I172" s="1"/>
      <c r="J172" s="1"/>
      <c r="M172" s="4"/>
    </row>
    <row r="173" spans="1:13">
      <c r="A173" s="4" t="s">
        <v>264</v>
      </c>
      <c r="B173" s="4" t="s">
        <v>8</v>
      </c>
      <c r="C173" s="4">
        <v>78</v>
      </c>
      <c r="D173" s="4">
        <v>5</v>
      </c>
      <c r="E173" s="4" t="s">
        <v>15</v>
      </c>
      <c r="G173" s="1"/>
      <c r="H173" s="1"/>
      <c r="I173" s="1"/>
      <c r="J173" s="1"/>
      <c r="M173" s="4"/>
    </row>
    <row r="174" spans="1:13">
      <c r="A174" s="4" t="s">
        <v>65</v>
      </c>
      <c r="B174" s="4" t="s">
        <v>4</v>
      </c>
      <c r="C174" s="4">
        <v>77</v>
      </c>
      <c r="D174" s="4">
        <v>5.5</v>
      </c>
      <c r="E174" s="4" t="s">
        <v>14</v>
      </c>
      <c r="G174" s="1"/>
      <c r="H174" s="1"/>
      <c r="I174" s="1"/>
      <c r="J174" s="1"/>
      <c r="M174" s="4"/>
    </row>
    <row r="175" spans="1:13">
      <c r="A175" s="4" t="s">
        <v>116</v>
      </c>
      <c r="B175" s="4" t="s">
        <v>12</v>
      </c>
      <c r="C175" s="4">
        <v>77</v>
      </c>
      <c r="D175" s="4">
        <v>5</v>
      </c>
      <c r="E175" s="4" t="s">
        <v>15</v>
      </c>
      <c r="G175" s="1"/>
      <c r="H175" s="1"/>
      <c r="I175" s="1"/>
      <c r="J175" s="1"/>
      <c r="M175" s="4"/>
    </row>
    <row r="176" spans="1:13">
      <c r="A176" s="4" t="s">
        <v>109</v>
      </c>
      <c r="B176" s="4" t="s">
        <v>7</v>
      </c>
      <c r="C176" s="4">
        <v>77</v>
      </c>
      <c r="D176" s="4">
        <v>7</v>
      </c>
      <c r="E176" s="4" t="s">
        <v>15</v>
      </c>
      <c r="G176" s="1"/>
      <c r="H176" s="1"/>
      <c r="I176" s="1"/>
      <c r="J176" s="1"/>
      <c r="M176" s="4"/>
    </row>
    <row r="177" spans="1:13">
      <c r="A177" s="4" t="s">
        <v>83</v>
      </c>
      <c r="B177" s="4" t="s">
        <v>10</v>
      </c>
      <c r="C177" s="4">
        <v>76</v>
      </c>
      <c r="D177" s="4">
        <v>5.5</v>
      </c>
      <c r="E177" s="4" t="s">
        <v>15</v>
      </c>
      <c r="G177" s="1"/>
      <c r="H177" s="1"/>
      <c r="I177" s="1"/>
      <c r="J177" s="1"/>
      <c r="M177" s="4"/>
    </row>
    <row r="178" spans="1:13">
      <c r="A178" s="4" t="s">
        <v>226</v>
      </c>
      <c r="B178" s="4" t="s">
        <v>30</v>
      </c>
      <c r="C178" s="4">
        <v>75</v>
      </c>
      <c r="D178" s="4">
        <v>5</v>
      </c>
      <c r="E178" s="4" t="s">
        <v>15</v>
      </c>
      <c r="G178" s="1"/>
      <c r="H178" s="1"/>
      <c r="I178" s="1"/>
      <c r="J178" s="1"/>
      <c r="M178" s="4"/>
    </row>
    <row r="179" spans="1:13">
      <c r="A179" s="4" t="s">
        <v>107</v>
      </c>
      <c r="B179" s="4" t="s">
        <v>8</v>
      </c>
      <c r="C179" s="4">
        <v>75</v>
      </c>
      <c r="D179" s="4">
        <v>5</v>
      </c>
      <c r="E179" s="4" t="s">
        <v>14</v>
      </c>
      <c r="G179" s="1"/>
      <c r="H179" s="1"/>
      <c r="I179" s="1"/>
      <c r="J179" s="1"/>
      <c r="M179" s="4"/>
    </row>
    <row r="180" spans="1:13">
      <c r="A180" s="4" t="s">
        <v>45</v>
      </c>
      <c r="B180" s="4" t="s">
        <v>10</v>
      </c>
      <c r="C180" s="4">
        <v>75</v>
      </c>
      <c r="D180" s="4">
        <v>5</v>
      </c>
      <c r="E180" s="4" t="s">
        <v>13</v>
      </c>
      <c r="G180" s="1"/>
      <c r="H180" s="1"/>
      <c r="I180" s="1"/>
      <c r="J180" s="1"/>
      <c r="M180" s="4"/>
    </row>
    <row r="181" spans="1:13">
      <c r="A181" s="4" t="s">
        <v>265</v>
      </c>
      <c r="B181" s="4" t="s">
        <v>6</v>
      </c>
      <c r="C181" s="4">
        <v>74</v>
      </c>
      <c r="D181" s="4">
        <v>5</v>
      </c>
      <c r="E181" s="4" t="s">
        <v>14</v>
      </c>
      <c r="G181" s="1"/>
      <c r="H181" s="1"/>
      <c r="I181" s="1"/>
      <c r="J181" s="1"/>
      <c r="M181" s="4"/>
    </row>
    <row r="182" spans="1:13">
      <c r="A182" s="4" t="s">
        <v>134</v>
      </c>
      <c r="B182" s="4" t="s">
        <v>5</v>
      </c>
      <c r="C182" s="4">
        <v>74</v>
      </c>
      <c r="D182" s="4">
        <v>6.5</v>
      </c>
      <c r="E182" s="4" t="s">
        <v>15</v>
      </c>
      <c r="M182" s="4"/>
    </row>
    <row r="183" spans="1:13">
      <c r="A183" s="4" t="s">
        <v>266</v>
      </c>
      <c r="B183" s="4" t="s">
        <v>30</v>
      </c>
      <c r="C183" s="4">
        <v>74</v>
      </c>
      <c r="D183" s="4">
        <v>4.5</v>
      </c>
      <c r="E183" s="4" t="s">
        <v>14</v>
      </c>
      <c r="M183" s="4"/>
    </row>
    <row r="184" spans="1:13">
      <c r="A184" s="4" t="s">
        <v>140</v>
      </c>
      <c r="B184" s="4" t="s">
        <v>11</v>
      </c>
      <c r="C184" s="4">
        <v>73</v>
      </c>
      <c r="D184" s="4">
        <v>4.5</v>
      </c>
      <c r="E184" s="4" t="s">
        <v>15</v>
      </c>
      <c r="M184" s="4"/>
    </row>
    <row r="185" spans="1:13">
      <c r="A185" s="4" t="s">
        <v>213</v>
      </c>
      <c r="B185" s="4" t="s">
        <v>2</v>
      </c>
      <c r="C185" s="4">
        <v>73</v>
      </c>
      <c r="D185" s="4">
        <v>6</v>
      </c>
      <c r="E185" s="4" t="s">
        <v>14</v>
      </c>
      <c r="M185" s="4"/>
    </row>
    <row r="186" spans="1:13">
      <c r="A186" s="4" t="s">
        <v>36</v>
      </c>
      <c r="B186" s="4" t="s">
        <v>7</v>
      </c>
      <c r="C186" s="4">
        <v>72</v>
      </c>
      <c r="D186" s="4">
        <v>8</v>
      </c>
      <c r="E186" s="4" t="s">
        <v>16</v>
      </c>
      <c r="M186" s="4"/>
    </row>
    <row r="187" spans="1:13">
      <c r="A187" s="4" t="s">
        <v>115</v>
      </c>
      <c r="B187" s="4" t="s">
        <v>10</v>
      </c>
      <c r="C187" s="4">
        <v>72</v>
      </c>
      <c r="D187" s="4">
        <v>7</v>
      </c>
      <c r="E187" s="4" t="s">
        <v>15</v>
      </c>
      <c r="M187" s="4"/>
    </row>
    <row r="188" spans="1:13">
      <c r="A188" s="4" t="s">
        <v>85</v>
      </c>
      <c r="B188" s="4" t="s">
        <v>12</v>
      </c>
      <c r="C188" s="4">
        <v>72</v>
      </c>
      <c r="D188" s="4">
        <v>6</v>
      </c>
      <c r="E188" s="4" t="s">
        <v>16</v>
      </c>
      <c r="M188" s="4"/>
    </row>
    <row r="189" spans="1:13">
      <c r="A189" s="4" t="s">
        <v>267</v>
      </c>
      <c r="B189" s="4" t="s">
        <v>25</v>
      </c>
      <c r="C189" s="4">
        <v>71</v>
      </c>
      <c r="D189" s="4">
        <v>5</v>
      </c>
      <c r="E189" s="4" t="s">
        <v>14</v>
      </c>
      <c r="M189" s="4"/>
    </row>
    <row r="190" spans="1:13">
      <c r="A190" s="4" t="s">
        <v>268</v>
      </c>
      <c r="B190" s="4" t="s">
        <v>6</v>
      </c>
      <c r="C190" s="4">
        <v>71</v>
      </c>
      <c r="D190" s="4">
        <v>5</v>
      </c>
      <c r="E190" s="4" t="s">
        <v>16</v>
      </c>
      <c r="M190" s="4"/>
    </row>
    <row r="191" spans="1:13">
      <c r="A191" s="4" t="s">
        <v>165</v>
      </c>
      <c r="B191" s="4" t="s">
        <v>8</v>
      </c>
      <c r="C191" s="4">
        <v>71</v>
      </c>
      <c r="D191" s="4">
        <v>5.5</v>
      </c>
      <c r="E191" s="4" t="s">
        <v>16</v>
      </c>
      <c r="M191" s="4"/>
    </row>
    <row r="192" spans="1:13">
      <c r="A192" s="4" t="s">
        <v>164</v>
      </c>
      <c r="B192" s="4" t="s">
        <v>10</v>
      </c>
      <c r="C192" s="4">
        <v>71</v>
      </c>
      <c r="D192" s="4">
        <v>5</v>
      </c>
      <c r="E192" s="4" t="s">
        <v>14</v>
      </c>
      <c r="M192" s="4"/>
    </row>
    <row r="193" spans="1:13">
      <c r="A193" s="4" t="s">
        <v>224</v>
      </c>
      <c r="B193" s="4" t="s">
        <v>2</v>
      </c>
      <c r="C193" s="4">
        <v>70</v>
      </c>
      <c r="D193" s="4">
        <v>6</v>
      </c>
      <c r="E193" s="4" t="s">
        <v>15</v>
      </c>
      <c r="M193" s="4"/>
    </row>
    <row r="194" spans="1:13">
      <c r="A194" s="4" t="s">
        <v>269</v>
      </c>
      <c r="B194" s="4" t="s">
        <v>1</v>
      </c>
      <c r="C194" s="4">
        <v>70</v>
      </c>
      <c r="D194" s="4">
        <v>9</v>
      </c>
      <c r="E194" s="4" t="s">
        <v>15</v>
      </c>
      <c r="M194" s="4"/>
    </row>
    <row r="195" spans="1:13">
      <c r="A195" s="4" t="s">
        <v>222</v>
      </c>
      <c r="B195" s="4" t="s">
        <v>7</v>
      </c>
      <c r="C195" s="4">
        <v>70</v>
      </c>
      <c r="D195" s="4">
        <v>5</v>
      </c>
      <c r="E195" s="4" t="s">
        <v>14</v>
      </c>
      <c r="M195" s="4"/>
    </row>
    <row r="196" spans="1:13">
      <c r="A196" s="4" t="s">
        <v>270</v>
      </c>
      <c r="B196" s="4" t="s">
        <v>24</v>
      </c>
      <c r="C196" s="4">
        <v>70</v>
      </c>
      <c r="D196" s="4">
        <v>5</v>
      </c>
      <c r="E196" s="4" t="s">
        <v>15</v>
      </c>
      <c r="M196" s="4"/>
    </row>
    <row r="197" spans="1:13">
      <c r="A197" s="4" t="s">
        <v>64</v>
      </c>
      <c r="B197" s="4" t="s">
        <v>5</v>
      </c>
      <c r="C197" s="4">
        <v>70</v>
      </c>
      <c r="D197" s="4">
        <v>5.5</v>
      </c>
      <c r="E197" s="4" t="s">
        <v>14</v>
      </c>
      <c r="M197" s="4"/>
    </row>
    <row r="198" spans="1:13">
      <c r="A198" s="4" t="s">
        <v>225</v>
      </c>
      <c r="B198" s="4" t="s">
        <v>30</v>
      </c>
      <c r="C198" s="4">
        <v>68</v>
      </c>
      <c r="D198" s="4">
        <v>4.5</v>
      </c>
      <c r="E198" s="4" t="s">
        <v>14</v>
      </c>
      <c r="M198" s="4"/>
    </row>
    <row r="199" spans="1:13">
      <c r="A199" s="4" t="s">
        <v>211</v>
      </c>
      <c r="B199" s="4" t="s">
        <v>29</v>
      </c>
      <c r="C199" s="4">
        <v>68</v>
      </c>
      <c r="D199" s="4">
        <v>5.5</v>
      </c>
      <c r="E199" s="4" t="s">
        <v>16</v>
      </c>
      <c r="M199" s="4"/>
    </row>
    <row r="200" spans="1:13">
      <c r="A200" s="4" t="s">
        <v>146</v>
      </c>
      <c r="B200" s="4" t="s">
        <v>25</v>
      </c>
      <c r="C200" s="4">
        <v>67</v>
      </c>
      <c r="D200" s="4">
        <v>4.5</v>
      </c>
      <c r="E200" s="4" t="s">
        <v>15</v>
      </c>
      <c r="M200" s="4"/>
    </row>
    <row r="201" spans="1:13">
      <c r="A201" s="4" t="s">
        <v>271</v>
      </c>
      <c r="B201" s="4" t="s">
        <v>30</v>
      </c>
      <c r="C201" s="4">
        <v>67</v>
      </c>
      <c r="D201" s="4">
        <v>4.5</v>
      </c>
      <c r="E201" s="4" t="s">
        <v>15</v>
      </c>
      <c r="M201" s="4"/>
    </row>
    <row r="202" spans="1:13">
      <c r="A202" s="4" t="s">
        <v>117</v>
      </c>
      <c r="B202" s="4" t="s">
        <v>24</v>
      </c>
      <c r="C202" s="4">
        <v>67</v>
      </c>
      <c r="D202" s="4">
        <v>5</v>
      </c>
      <c r="E202" s="4" t="s">
        <v>13</v>
      </c>
      <c r="M202" s="4"/>
    </row>
    <row r="203" spans="1:13">
      <c r="A203" s="4" t="s">
        <v>127</v>
      </c>
      <c r="B203" s="4" t="s">
        <v>7</v>
      </c>
      <c r="C203" s="4">
        <v>66</v>
      </c>
      <c r="D203" s="4">
        <v>5</v>
      </c>
      <c r="E203" s="4" t="s">
        <v>14</v>
      </c>
      <c r="M203" s="4"/>
    </row>
    <row r="204" spans="1:13">
      <c r="A204" s="4" t="s">
        <v>272</v>
      </c>
      <c r="B204" s="4" t="s">
        <v>30</v>
      </c>
      <c r="C204" s="4">
        <v>66</v>
      </c>
      <c r="D204" s="4">
        <v>4.5</v>
      </c>
      <c r="E204" s="4" t="s">
        <v>14</v>
      </c>
      <c r="M204" s="4"/>
    </row>
    <row r="205" spans="1:13">
      <c r="A205" s="4" t="s">
        <v>55</v>
      </c>
      <c r="B205" s="4" t="s">
        <v>0</v>
      </c>
      <c r="C205" s="4">
        <v>66</v>
      </c>
      <c r="D205" s="4">
        <v>6</v>
      </c>
      <c r="E205" s="4" t="s">
        <v>14</v>
      </c>
      <c r="M205" s="4"/>
    </row>
    <row r="206" spans="1:13">
      <c r="A206" s="4" t="s">
        <v>129</v>
      </c>
      <c r="B206" s="4" t="s">
        <v>235</v>
      </c>
      <c r="C206" s="4">
        <v>65</v>
      </c>
      <c r="D206" s="4">
        <v>4.5</v>
      </c>
      <c r="E206" s="4" t="s">
        <v>14</v>
      </c>
      <c r="M206" s="4"/>
    </row>
    <row r="207" spans="1:13">
      <c r="A207" s="4" t="s">
        <v>130</v>
      </c>
      <c r="B207" s="4" t="s">
        <v>2</v>
      </c>
      <c r="C207" s="4">
        <v>65</v>
      </c>
      <c r="D207" s="4">
        <v>5.5</v>
      </c>
      <c r="E207" s="4" t="s">
        <v>15</v>
      </c>
      <c r="M207" s="4"/>
    </row>
    <row r="208" spans="1:13">
      <c r="A208" s="4" t="s">
        <v>125</v>
      </c>
      <c r="B208" s="4" t="s">
        <v>3</v>
      </c>
      <c r="C208" s="4">
        <v>65</v>
      </c>
      <c r="D208" s="4">
        <v>6</v>
      </c>
      <c r="E208" s="4" t="s">
        <v>15</v>
      </c>
      <c r="M208" s="4"/>
    </row>
    <row r="209" spans="1:13">
      <c r="A209" s="4" t="s">
        <v>273</v>
      </c>
      <c r="B209" s="4" t="s">
        <v>9</v>
      </c>
      <c r="C209" s="4">
        <v>64</v>
      </c>
      <c r="D209" s="4">
        <v>5.5</v>
      </c>
      <c r="E209" s="4" t="s">
        <v>15</v>
      </c>
      <c r="M209" s="4"/>
    </row>
    <row r="210" spans="1:13">
      <c r="A210" s="4" t="s">
        <v>274</v>
      </c>
      <c r="B210" s="4" t="s">
        <v>30</v>
      </c>
      <c r="C210" s="4">
        <v>63</v>
      </c>
      <c r="D210" s="4">
        <v>4.5</v>
      </c>
      <c r="E210" s="4" t="s">
        <v>13</v>
      </c>
      <c r="M210" s="4"/>
    </row>
    <row r="211" spans="1:13">
      <c r="A211" s="4" t="s">
        <v>215</v>
      </c>
      <c r="B211" s="4" t="s">
        <v>5</v>
      </c>
      <c r="C211" s="4">
        <v>63</v>
      </c>
      <c r="D211" s="4">
        <v>7</v>
      </c>
      <c r="E211" s="4" t="s">
        <v>15</v>
      </c>
      <c r="M211" s="4"/>
    </row>
    <row r="212" spans="1:13">
      <c r="A212" s="4" t="s">
        <v>186</v>
      </c>
      <c r="B212" s="4" t="s">
        <v>3</v>
      </c>
      <c r="C212" s="4">
        <v>63</v>
      </c>
      <c r="D212" s="4">
        <v>4.5</v>
      </c>
      <c r="E212" s="4" t="s">
        <v>14</v>
      </c>
      <c r="M212" s="4"/>
    </row>
    <row r="213" spans="1:13">
      <c r="A213" s="4" t="s">
        <v>275</v>
      </c>
      <c r="B213" s="4" t="s">
        <v>3</v>
      </c>
      <c r="C213" s="4">
        <v>63</v>
      </c>
      <c r="D213" s="4">
        <v>5</v>
      </c>
      <c r="E213" s="4" t="s">
        <v>15</v>
      </c>
      <c r="M213" s="4"/>
    </row>
    <row r="214" spans="1:13">
      <c r="A214" s="4" t="s">
        <v>276</v>
      </c>
      <c r="B214" s="4" t="s">
        <v>25</v>
      </c>
      <c r="C214" s="4">
        <v>62</v>
      </c>
      <c r="D214" s="4">
        <v>5</v>
      </c>
      <c r="E214" s="4" t="s">
        <v>15</v>
      </c>
      <c r="M214" s="4"/>
    </row>
    <row r="215" spans="1:13">
      <c r="A215" s="4" t="s">
        <v>277</v>
      </c>
      <c r="B215" s="4" t="s">
        <v>10</v>
      </c>
      <c r="C215" s="4">
        <v>62</v>
      </c>
      <c r="D215" s="4">
        <v>5</v>
      </c>
      <c r="E215" s="4" t="s">
        <v>15</v>
      </c>
      <c r="M215" s="4"/>
    </row>
    <row r="216" spans="1:13">
      <c r="A216" s="4" t="s">
        <v>278</v>
      </c>
      <c r="B216" s="4" t="s">
        <v>7</v>
      </c>
      <c r="C216" s="4">
        <v>62</v>
      </c>
      <c r="D216" s="4">
        <v>5</v>
      </c>
      <c r="E216" s="4" t="s">
        <v>15</v>
      </c>
      <c r="M216" s="4"/>
    </row>
    <row r="217" spans="1:13">
      <c r="A217" s="4" t="s">
        <v>174</v>
      </c>
      <c r="B217" s="4" t="s">
        <v>3</v>
      </c>
      <c r="C217" s="4">
        <v>61</v>
      </c>
      <c r="D217" s="4">
        <v>5</v>
      </c>
      <c r="E217" s="4" t="s">
        <v>15</v>
      </c>
      <c r="M217" s="4"/>
    </row>
    <row r="218" spans="1:13">
      <c r="A218" s="4" t="s">
        <v>152</v>
      </c>
      <c r="B218" s="4" t="s">
        <v>12</v>
      </c>
      <c r="C218" s="4">
        <v>61</v>
      </c>
      <c r="D218" s="4">
        <v>5</v>
      </c>
      <c r="E218" s="4" t="s">
        <v>15</v>
      </c>
      <c r="M218" s="4"/>
    </row>
    <row r="219" spans="1:13">
      <c r="A219" s="4" t="s">
        <v>95</v>
      </c>
      <c r="B219" s="4" t="s">
        <v>12</v>
      </c>
      <c r="C219" s="4">
        <v>61</v>
      </c>
      <c r="D219" s="4">
        <v>5</v>
      </c>
      <c r="E219" s="4" t="s">
        <v>14</v>
      </c>
      <c r="M219" s="4"/>
    </row>
    <row r="220" spans="1:13">
      <c r="A220" s="4" t="s">
        <v>90</v>
      </c>
      <c r="B220" s="4" t="s">
        <v>29</v>
      </c>
      <c r="C220" s="4">
        <v>61</v>
      </c>
      <c r="D220" s="4">
        <v>5</v>
      </c>
      <c r="E220" s="4" t="s">
        <v>15</v>
      </c>
      <c r="M220" s="4"/>
    </row>
    <row r="221" spans="1:13">
      <c r="A221" s="4" t="s">
        <v>279</v>
      </c>
      <c r="B221" s="4" t="s">
        <v>24</v>
      </c>
      <c r="C221" s="4">
        <v>60</v>
      </c>
      <c r="D221" s="4">
        <v>4.5</v>
      </c>
      <c r="E221" s="4" t="s">
        <v>13</v>
      </c>
      <c r="M221" s="4"/>
    </row>
    <row r="222" spans="1:13">
      <c r="A222" s="4" t="s">
        <v>280</v>
      </c>
      <c r="B222" s="4" t="s">
        <v>5</v>
      </c>
      <c r="C222" s="4">
        <v>60</v>
      </c>
      <c r="D222" s="4">
        <v>6.5</v>
      </c>
      <c r="E222" s="4" t="s">
        <v>15</v>
      </c>
      <c r="M222" s="4"/>
    </row>
    <row r="223" spans="1:13">
      <c r="A223" s="4" t="s">
        <v>95</v>
      </c>
      <c r="B223" s="4" t="s">
        <v>9</v>
      </c>
      <c r="C223" s="4">
        <v>59</v>
      </c>
      <c r="D223" s="4">
        <v>5</v>
      </c>
      <c r="E223" s="4" t="s">
        <v>16</v>
      </c>
      <c r="M223" s="4"/>
    </row>
    <row r="224" spans="1:13">
      <c r="A224" s="4" t="s">
        <v>281</v>
      </c>
      <c r="B224" s="4" t="s">
        <v>7</v>
      </c>
      <c r="C224" s="4">
        <v>58</v>
      </c>
      <c r="D224" s="4">
        <v>5.5</v>
      </c>
      <c r="E224" s="4" t="s">
        <v>15</v>
      </c>
      <c r="M224" s="4"/>
    </row>
    <row r="225" spans="1:13">
      <c r="A225" s="4" t="s">
        <v>282</v>
      </c>
      <c r="B225" s="4" t="s">
        <v>24</v>
      </c>
      <c r="C225" s="4">
        <v>58</v>
      </c>
      <c r="D225" s="4">
        <v>4.5</v>
      </c>
      <c r="E225" s="4" t="s">
        <v>15</v>
      </c>
      <c r="M225" s="4"/>
    </row>
    <row r="226" spans="1:13">
      <c r="A226" s="4" t="s">
        <v>283</v>
      </c>
      <c r="B226" s="4" t="s">
        <v>3</v>
      </c>
      <c r="C226" s="4">
        <v>58</v>
      </c>
      <c r="D226" s="4">
        <v>4.5</v>
      </c>
      <c r="E226" s="4" t="s">
        <v>14</v>
      </c>
      <c r="M226" s="4"/>
    </row>
    <row r="227" spans="1:13">
      <c r="A227" s="4" t="s">
        <v>284</v>
      </c>
      <c r="B227" s="4" t="s">
        <v>12</v>
      </c>
      <c r="C227" s="4">
        <v>58</v>
      </c>
      <c r="D227" s="4">
        <v>4.5</v>
      </c>
      <c r="E227" s="4" t="s">
        <v>15</v>
      </c>
      <c r="M227" s="4"/>
    </row>
    <row r="228" spans="1:13">
      <c r="A228" s="4" t="s">
        <v>73</v>
      </c>
      <c r="B228" s="4" t="s">
        <v>2</v>
      </c>
      <c r="C228" s="4">
        <v>58</v>
      </c>
      <c r="D228" s="4">
        <v>7.5</v>
      </c>
      <c r="E228" s="4" t="s">
        <v>15</v>
      </c>
      <c r="M228" s="4"/>
    </row>
    <row r="229" spans="1:13">
      <c r="A229" s="4" t="s">
        <v>92</v>
      </c>
      <c r="B229" s="4" t="s">
        <v>2</v>
      </c>
      <c r="C229" s="4">
        <v>57</v>
      </c>
      <c r="D229" s="4">
        <v>7.5</v>
      </c>
      <c r="E229" s="4" t="s">
        <v>16</v>
      </c>
      <c r="M229" s="4"/>
    </row>
    <row r="230" spans="1:13">
      <c r="A230" s="4" t="s">
        <v>182</v>
      </c>
      <c r="B230" s="4" t="s">
        <v>9</v>
      </c>
      <c r="C230" s="4">
        <v>55</v>
      </c>
      <c r="D230" s="4">
        <v>5</v>
      </c>
      <c r="E230" s="4" t="s">
        <v>16</v>
      </c>
      <c r="M230" s="4"/>
    </row>
    <row r="231" spans="1:13">
      <c r="A231" s="4" t="s">
        <v>155</v>
      </c>
      <c r="B231" s="4" t="s">
        <v>4</v>
      </c>
      <c r="C231" s="4">
        <v>55</v>
      </c>
      <c r="D231" s="4">
        <v>5.5</v>
      </c>
      <c r="E231" s="4" t="s">
        <v>14</v>
      </c>
      <c r="M231" s="4"/>
    </row>
    <row r="232" spans="1:13">
      <c r="A232" s="4" t="s">
        <v>89</v>
      </c>
      <c r="B232" s="4" t="s">
        <v>10</v>
      </c>
      <c r="C232" s="4">
        <v>51</v>
      </c>
      <c r="D232" s="4">
        <v>5</v>
      </c>
      <c r="E232" s="4" t="s">
        <v>14</v>
      </c>
      <c r="M232" s="4"/>
    </row>
    <row r="233" spans="1:13">
      <c r="A233" s="4" t="s">
        <v>285</v>
      </c>
      <c r="B233" s="4" t="s">
        <v>5</v>
      </c>
      <c r="C233" s="4">
        <v>51</v>
      </c>
      <c r="D233" s="4">
        <v>4.5</v>
      </c>
      <c r="E233" s="4" t="s">
        <v>14</v>
      </c>
      <c r="M233" s="4"/>
    </row>
    <row r="234" spans="1:13">
      <c r="A234" s="4" t="s">
        <v>229</v>
      </c>
      <c r="B234" s="4" t="s">
        <v>25</v>
      </c>
      <c r="C234" s="4">
        <v>51</v>
      </c>
      <c r="D234" s="4">
        <v>4.5</v>
      </c>
      <c r="E234" s="4" t="s">
        <v>13</v>
      </c>
      <c r="M234" s="4"/>
    </row>
    <row r="235" spans="1:13">
      <c r="A235" s="4" t="s">
        <v>286</v>
      </c>
      <c r="B235" s="4" t="s">
        <v>10</v>
      </c>
      <c r="C235" s="4">
        <v>50</v>
      </c>
      <c r="D235" s="4">
        <v>6.5</v>
      </c>
      <c r="E235" s="4" t="s">
        <v>16</v>
      </c>
      <c r="M235" s="4"/>
    </row>
    <row r="236" spans="1:13">
      <c r="A236" s="4" t="s">
        <v>177</v>
      </c>
      <c r="B236" s="4" t="s">
        <v>8</v>
      </c>
      <c r="C236" s="4">
        <v>50</v>
      </c>
      <c r="D236" s="4">
        <v>4.5</v>
      </c>
      <c r="E236" s="4" t="s">
        <v>14</v>
      </c>
      <c r="M236" s="4"/>
    </row>
    <row r="237" spans="1:13">
      <c r="A237" s="4" t="s">
        <v>287</v>
      </c>
      <c r="B237" s="4" t="s">
        <v>5</v>
      </c>
      <c r="C237" s="4">
        <v>50</v>
      </c>
      <c r="D237" s="4">
        <v>5.5</v>
      </c>
      <c r="E237" s="4" t="s">
        <v>14</v>
      </c>
      <c r="M237" s="4"/>
    </row>
    <row r="238" spans="1:13">
      <c r="A238" s="4" t="s">
        <v>210</v>
      </c>
      <c r="B238" s="4" t="s">
        <v>29</v>
      </c>
      <c r="C238" s="4">
        <v>50</v>
      </c>
      <c r="D238" s="4">
        <v>5</v>
      </c>
      <c r="E238" s="4" t="s">
        <v>14</v>
      </c>
      <c r="M238" s="4"/>
    </row>
    <row r="239" spans="1:13">
      <c r="A239" s="4" t="s">
        <v>84</v>
      </c>
      <c r="B239" s="4" t="s">
        <v>6</v>
      </c>
      <c r="C239" s="4">
        <v>48</v>
      </c>
      <c r="D239" s="4">
        <v>5</v>
      </c>
      <c r="E239" s="4" t="s">
        <v>14</v>
      </c>
      <c r="M239" s="4"/>
    </row>
    <row r="240" spans="1:13">
      <c r="A240" s="4" t="s">
        <v>179</v>
      </c>
      <c r="B240" s="4" t="s">
        <v>7</v>
      </c>
      <c r="C240" s="4">
        <v>48</v>
      </c>
      <c r="D240" s="4">
        <v>4.5</v>
      </c>
      <c r="E240" s="4" t="s">
        <v>14</v>
      </c>
      <c r="M240" s="4"/>
    </row>
    <row r="241" spans="1:13">
      <c r="A241" s="4" t="s">
        <v>288</v>
      </c>
      <c r="B241" s="4" t="s">
        <v>0</v>
      </c>
      <c r="C241" s="4">
        <v>47</v>
      </c>
      <c r="D241" s="4">
        <v>5</v>
      </c>
      <c r="E241" s="4" t="s">
        <v>14</v>
      </c>
      <c r="M241" s="4"/>
    </row>
    <row r="242" spans="1:13">
      <c r="A242" s="4" t="s">
        <v>173</v>
      </c>
      <c r="B242" s="4" t="s">
        <v>8</v>
      </c>
      <c r="C242" s="4">
        <v>47</v>
      </c>
      <c r="D242" s="4">
        <v>4.5</v>
      </c>
      <c r="E242" s="4" t="s">
        <v>14</v>
      </c>
      <c r="M242" s="4"/>
    </row>
    <row r="243" spans="1:13">
      <c r="A243" s="4" t="s">
        <v>170</v>
      </c>
      <c r="B243" s="4" t="s">
        <v>2</v>
      </c>
      <c r="C243" s="4">
        <v>47</v>
      </c>
      <c r="D243" s="4">
        <v>5.5</v>
      </c>
      <c r="E243" s="4" t="s">
        <v>14</v>
      </c>
      <c r="M243" s="4"/>
    </row>
    <row r="244" spans="1:13">
      <c r="A244" s="4" t="s">
        <v>188</v>
      </c>
      <c r="B244" s="4" t="s">
        <v>9</v>
      </c>
      <c r="C244" s="4">
        <v>47</v>
      </c>
      <c r="D244" s="4">
        <v>4.5</v>
      </c>
      <c r="E244" s="4" t="s">
        <v>14</v>
      </c>
      <c r="M244" s="4"/>
    </row>
    <row r="245" spans="1:13">
      <c r="A245" s="4" t="s">
        <v>289</v>
      </c>
      <c r="B245" s="4" t="s">
        <v>30</v>
      </c>
      <c r="C245" s="4">
        <v>46</v>
      </c>
      <c r="D245" s="4">
        <v>4.5</v>
      </c>
      <c r="E245" s="4" t="s">
        <v>14</v>
      </c>
      <c r="M245" s="4"/>
    </row>
    <row r="246" spans="1:13">
      <c r="A246" s="4" t="s">
        <v>163</v>
      </c>
      <c r="B246" s="4" t="s">
        <v>9</v>
      </c>
      <c r="C246" s="4">
        <v>46</v>
      </c>
      <c r="D246" s="4">
        <v>4.5</v>
      </c>
      <c r="E246" s="4" t="s">
        <v>14</v>
      </c>
      <c r="M246" s="4"/>
    </row>
    <row r="247" spans="1:13">
      <c r="A247" s="4" t="s">
        <v>290</v>
      </c>
      <c r="B247" s="4" t="s">
        <v>1</v>
      </c>
      <c r="C247" s="4">
        <v>45</v>
      </c>
      <c r="D247" s="4">
        <v>4.5</v>
      </c>
      <c r="E247" s="4" t="s">
        <v>14</v>
      </c>
      <c r="M247" s="4"/>
    </row>
    <row r="248" spans="1:13">
      <c r="A248" s="4" t="s">
        <v>60</v>
      </c>
      <c r="B248" s="4" t="s">
        <v>7</v>
      </c>
      <c r="C248" s="4">
        <v>44</v>
      </c>
      <c r="D248" s="4">
        <v>5.5</v>
      </c>
      <c r="E248" s="4" t="s">
        <v>14</v>
      </c>
      <c r="M248" s="4"/>
    </row>
    <row r="249" spans="1:13">
      <c r="A249" s="4" t="s">
        <v>181</v>
      </c>
      <c r="B249" s="4" t="s">
        <v>10</v>
      </c>
      <c r="C249" s="4">
        <v>44</v>
      </c>
      <c r="D249" s="4">
        <v>4.5</v>
      </c>
      <c r="E249" s="4" t="s">
        <v>14</v>
      </c>
      <c r="M249" s="4"/>
    </row>
    <row r="250" spans="1:13">
      <c r="A250" s="4" t="s">
        <v>187</v>
      </c>
      <c r="B250" s="4" t="s">
        <v>1</v>
      </c>
      <c r="C250" s="4">
        <v>44</v>
      </c>
      <c r="D250" s="4">
        <v>5</v>
      </c>
      <c r="E250" s="4" t="s">
        <v>14</v>
      </c>
      <c r="M250" s="4"/>
    </row>
    <row r="251" spans="1:13">
      <c r="A251" s="4" t="s">
        <v>291</v>
      </c>
      <c r="B251" s="4" t="s">
        <v>3</v>
      </c>
      <c r="C251" s="4">
        <v>42</v>
      </c>
      <c r="D251" s="4">
        <v>4</v>
      </c>
      <c r="E251" s="4" t="s">
        <v>14</v>
      </c>
      <c r="M251" s="4"/>
    </row>
    <row r="252" spans="1:13">
      <c r="A252" s="4" t="s">
        <v>126</v>
      </c>
      <c r="B252" s="4" t="s">
        <v>3</v>
      </c>
      <c r="C252" s="4">
        <v>42</v>
      </c>
      <c r="D252" s="4">
        <v>6.5</v>
      </c>
      <c r="E252" s="4" t="s">
        <v>16</v>
      </c>
      <c r="M252" s="4"/>
    </row>
    <row r="253" spans="1:13">
      <c r="A253" s="4" t="s">
        <v>192</v>
      </c>
      <c r="B253" s="4" t="s">
        <v>25</v>
      </c>
      <c r="C253" s="4">
        <v>40</v>
      </c>
      <c r="D253" s="4">
        <v>4.5</v>
      </c>
      <c r="E253" s="4" t="s">
        <v>16</v>
      </c>
      <c r="M253" s="4"/>
    </row>
    <row r="254" spans="1:13">
      <c r="A254" s="4" t="s">
        <v>292</v>
      </c>
      <c r="B254" s="4" t="s">
        <v>24</v>
      </c>
      <c r="C254" s="4">
        <v>39</v>
      </c>
      <c r="D254" s="4">
        <v>4</v>
      </c>
      <c r="E254" s="4" t="s">
        <v>14</v>
      </c>
      <c r="M254" s="4"/>
    </row>
    <row r="255" spans="1:13">
      <c r="A255" s="4" t="s">
        <v>293</v>
      </c>
      <c r="B255" s="4" t="s">
        <v>2</v>
      </c>
      <c r="C255" s="4">
        <v>37</v>
      </c>
      <c r="D255" s="4">
        <v>5</v>
      </c>
      <c r="E255" s="4" t="s">
        <v>14</v>
      </c>
      <c r="M255" s="4"/>
    </row>
    <row r="256" spans="1:13">
      <c r="A256" s="4" t="s">
        <v>95</v>
      </c>
      <c r="B256" s="4" t="s">
        <v>2</v>
      </c>
      <c r="C256" s="4">
        <v>37</v>
      </c>
      <c r="D256" s="4">
        <v>6</v>
      </c>
      <c r="E256" s="4" t="s">
        <v>14</v>
      </c>
      <c r="M256" s="4"/>
    </row>
    <row r="257" spans="1:13">
      <c r="A257" s="4" t="s">
        <v>294</v>
      </c>
      <c r="B257" s="4" t="s">
        <v>25</v>
      </c>
      <c r="C257" s="4">
        <v>37</v>
      </c>
      <c r="D257" s="4">
        <v>4.5</v>
      </c>
      <c r="E257" s="4" t="s">
        <v>14</v>
      </c>
      <c r="M257" s="4"/>
    </row>
    <row r="258" spans="1:13">
      <c r="A258" s="4" t="s">
        <v>158</v>
      </c>
      <c r="B258" s="4" t="s">
        <v>10</v>
      </c>
      <c r="C258" s="4">
        <v>35</v>
      </c>
      <c r="D258" s="4">
        <v>4.5</v>
      </c>
      <c r="E258" s="4" t="s">
        <v>14</v>
      </c>
      <c r="M258" s="4"/>
    </row>
    <row r="259" spans="1:13">
      <c r="A259" s="4" t="s">
        <v>180</v>
      </c>
      <c r="B259" s="4" t="s">
        <v>10</v>
      </c>
      <c r="C259" s="4">
        <v>34</v>
      </c>
      <c r="D259" s="4">
        <v>5</v>
      </c>
      <c r="E259" s="4" t="s">
        <v>16</v>
      </c>
      <c r="M259" s="4"/>
    </row>
    <row r="260" spans="1:13">
      <c r="A260" s="4" t="s">
        <v>295</v>
      </c>
      <c r="B260" s="4" t="s">
        <v>12</v>
      </c>
      <c r="C260" s="4">
        <v>34</v>
      </c>
      <c r="D260" s="4">
        <v>5</v>
      </c>
      <c r="E260" s="4" t="s">
        <v>16</v>
      </c>
    </row>
    <row r="261" spans="1:13">
      <c r="A261" s="4" t="s">
        <v>226</v>
      </c>
      <c r="B261" s="4" t="s">
        <v>30</v>
      </c>
      <c r="C261" s="4">
        <v>31</v>
      </c>
      <c r="D261" s="4">
        <v>4</v>
      </c>
      <c r="E261" s="4" t="s">
        <v>13</v>
      </c>
    </row>
    <row r="262" spans="1:13">
      <c r="A262" s="4" t="s">
        <v>296</v>
      </c>
      <c r="B262" s="4" t="s">
        <v>11</v>
      </c>
      <c r="C262" s="4">
        <v>31</v>
      </c>
      <c r="D262" s="4">
        <v>4.5</v>
      </c>
      <c r="E262" s="4" t="s">
        <v>13</v>
      </c>
    </row>
    <row r="263" spans="1:13">
      <c r="A263" s="4" t="s">
        <v>297</v>
      </c>
      <c r="B263" s="4" t="s">
        <v>29</v>
      </c>
      <c r="C263" s="4">
        <v>30</v>
      </c>
      <c r="D263" s="4">
        <v>5</v>
      </c>
      <c r="E263" s="4" t="s">
        <v>16</v>
      </c>
    </row>
    <row r="264" spans="1:13">
      <c r="A264" s="4" t="s">
        <v>216</v>
      </c>
      <c r="B264" s="4" t="s">
        <v>30</v>
      </c>
      <c r="C264" s="4">
        <v>26</v>
      </c>
      <c r="D264" s="4">
        <v>4</v>
      </c>
      <c r="E264" s="4" t="s">
        <v>13</v>
      </c>
    </row>
    <row r="265" spans="1:13">
      <c r="A265" s="4" t="s">
        <v>184</v>
      </c>
      <c r="B265" s="4" t="s">
        <v>2</v>
      </c>
      <c r="C265" s="4">
        <v>26</v>
      </c>
      <c r="D265" s="4">
        <v>5</v>
      </c>
      <c r="E265" s="4" t="s">
        <v>13</v>
      </c>
    </row>
    <row r="266" spans="1:13">
      <c r="A266" s="4" t="s">
        <v>298</v>
      </c>
      <c r="B266" s="4" t="s">
        <v>12</v>
      </c>
      <c r="C266" s="4">
        <v>25</v>
      </c>
      <c r="D266" s="4">
        <v>4.5</v>
      </c>
      <c r="E266" s="4" t="s">
        <v>13</v>
      </c>
    </row>
    <row r="267" spans="1:13">
      <c r="A267" s="4" t="s">
        <v>95</v>
      </c>
      <c r="B267" s="4" t="s">
        <v>1</v>
      </c>
      <c r="C267" s="4">
        <v>24</v>
      </c>
      <c r="D267" s="4">
        <v>4.5</v>
      </c>
      <c r="E267" s="4" t="s">
        <v>13</v>
      </c>
    </row>
    <row r="268" spans="1:13">
      <c r="A268" s="4" t="s">
        <v>46</v>
      </c>
      <c r="B268" s="4" t="s">
        <v>7</v>
      </c>
      <c r="C268" s="4">
        <v>23</v>
      </c>
      <c r="D268" s="4">
        <v>4.5</v>
      </c>
      <c r="E268" s="4" t="s">
        <v>13</v>
      </c>
    </row>
    <row r="269" spans="1:13">
      <c r="A269" s="4" t="s">
        <v>299</v>
      </c>
      <c r="B269" s="4" t="s">
        <v>6</v>
      </c>
      <c r="C269" s="4">
        <v>22</v>
      </c>
      <c r="D269" s="4">
        <v>4.5</v>
      </c>
      <c r="E269" s="4" t="s">
        <v>13</v>
      </c>
    </row>
    <row r="270" spans="1:13">
      <c r="A270" s="4" t="s">
        <v>300</v>
      </c>
      <c r="B270" s="4" t="s">
        <v>10</v>
      </c>
      <c r="C270" s="4">
        <v>20</v>
      </c>
      <c r="D270" s="4">
        <v>4.5</v>
      </c>
      <c r="E270" s="4" t="s">
        <v>13</v>
      </c>
    </row>
    <row r="271" spans="1:13">
      <c r="A271" s="4" t="s">
        <v>214</v>
      </c>
      <c r="B271" s="4" t="s">
        <v>1</v>
      </c>
      <c r="C271" s="4">
        <v>19</v>
      </c>
      <c r="D271" s="4">
        <v>6.5</v>
      </c>
      <c r="E271" s="4" t="s">
        <v>16</v>
      </c>
    </row>
    <row r="272" spans="1:13">
      <c r="A272" s="4" t="s">
        <v>194</v>
      </c>
      <c r="B272" s="4" t="s">
        <v>233</v>
      </c>
      <c r="C272" s="4">
        <v>17</v>
      </c>
      <c r="D272" s="4">
        <v>5.5</v>
      </c>
      <c r="E272" s="4" t="s">
        <v>16</v>
      </c>
    </row>
    <row r="273" spans="1:5">
      <c r="A273" s="4" t="s">
        <v>197</v>
      </c>
      <c r="B273" s="4" t="s">
        <v>11</v>
      </c>
      <c r="C273" s="4">
        <v>15</v>
      </c>
      <c r="D273" s="4">
        <v>5</v>
      </c>
      <c r="E273" s="4" t="s">
        <v>16</v>
      </c>
    </row>
    <row r="274" spans="1:5">
      <c r="A274" s="4" t="s">
        <v>301</v>
      </c>
      <c r="B274" s="4" t="s">
        <v>30</v>
      </c>
      <c r="C274" s="4">
        <v>14</v>
      </c>
      <c r="D274" s="4">
        <v>5</v>
      </c>
      <c r="E274" s="4" t="s">
        <v>16</v>
      </c>
    </row>
    <row r="275" spans="1:5">
      <c r="A275" s="4" t="s">
        <v>302</v>
      </c>
      <c r="B275" s="4" t="s">
        <v>3</v>
      </c>
      <c r="C275" s="4">
        <v>13</v>
      </c>
      <c r="D275" s="4">
        <v>4.5</v>
      </c>
      <c r="E275" s="4" t="s">
        <v>16</v>
      </c>
    </row>
    <row r="276" spans="1:5">
      <c r="A276" s="4" t="s">
        <v>303</v>
      </c>
      <c r="B276" s="4" t="s">
        <v>5</v>
      </c>
      <c r="C276" s="4">
        <v>13</v>
      </c>
      <c r="D276" s="4">
        <v>4.5</v>
      </c>
      <c r="E276" s="4" t="s">
        <v>13</v>
      </c>
    </row>
    <row r="277" spans="1:5">
      <c r="A277" s="4" t="s">
        <v>304</v>
      </c>
      <c r="B277" s="4" t="s">
        <v>24</v>
      </c>
      <c r="C277" s="4">
        <v>12</v>
      </c>
      <c r="D277" s="4">
        <v>5</v>
      </c>
      <c r="E277" s="4" t="s">
        <v>16</v>
      </c>
    </row>
    <row r="278" spans="1:5">
      <c r="A278" s="4" t="s">
        <v>200</v>
      </c>
      <c r="B278" s="4" t="s">
        <v>10</v>
      </c>
      <c r="C278" s="4">
        <v>11</v>
      </c>
      <c r="D278" s="4">
        <v>4.5</v>
      </c>
      <c r="E278" s="4" t="s">
        <v>16</v>
      </c>
    </row>
    <row r="279" spans="1:5">
      <c r="A279" s="4" t="s">
        <v>195</v>
      </c>
      <c r="B279" s="4" t="s">
        <v>6</v>
      </c>
      <c r="C279" s="4">
        <v>9</v>
      </c>
      <c r="D279" s="4">
        <v>4.5</v>
      </c>
      <c r="E279" s="4" t="s">
        <v>16</v>
      </c>
    </row>
    <row r="280" spans="1:5">
      <c r="A280" s="4" t="s">
        <v>305</v>
      </c>
      <c r="B280" s="4" t="s">
        <v>7</v>
      </c>
      <c r="C280" s="4">
        <v>5</v>
      </c>
      <c r="D280" s="4">
        <v>4.5</v>
      </c>
      <c r="E280" s="4" t="s">
        <v>16</v>
      </c>
    </row>
    <row r="281" spans="1:5">
      <c r="A281" s="4" t="s">
        <v>193</v>
      </c>
      <c r="B281" s="4" t="s">
        <v>8</v>
      </c>
      <c r="C281" s="4">
        <v>5</v>
      </c>
      <c r="D281" s="4">
        <v>4.5</v>
      </c>
      <c r="E281" s="4" t="s">
        <v>13</v>
      </c>
    </row>
    <row r="282" spans="1:5">
      <c r="A282" s="4"/>
      <c r="B282" s="4"/>
      <c r="C282" s="4"/>
      <c r="D282" s="4"/>
      <c r="E282" s="4"/>
    </row>
    <row r="283" spans="1:5">
      <c r="A283" s="4"/>
      <c r="B283" s="4"/>
      <c r="C283" s="4"/>
      <c r="D283" s="4"/>
      <c r="E283" s="4"/>
    </row>
    <row r="284" spans="1:5">
      <c r="A284" s="4"/>
      <c r="B284" s="4"/>
      <c r="C284" s="4"/>
      <c r="D284" s="4"/>
      <c r="E284" s="4"/>
    </row>
    <row r="285" spans="1:5">
      <c r="A285" s="4"/>
      <c r="B285" s="4"/>
      <c r="C285" s="4"/>
      <c r="D285" s="4"/>
      <c r="E285" s="4"/>
    </row>
    <row r="286" spans="1:5">
      <c r="A286" s="4"/>
      <c r="B286" s="4"/>
      <c r="C286" s="4"/>
      <c r="D286" s="4"/>
      <c r="E286" s="4"/>
    </row>
    <row r="287" spans="1:5">
      <c r="A287" s="4"/>
      <c r="B287" s="4"/>
      <c r="C287" s="4"/>
      <c r="D287" s="4"/>
      <c r="E287" s="4"/>
    </row>
    <row r="288" spans="1:5">
      <c r="A288" s="1"/>
      <c r="B288" s="1"/>
      <c r="C288" s="1"/>
      <c r="D288" s="1"/>
    </row>
    <row r="289" spans="1:4">
      <c r="A289" s="1"/>
      <c r="B289" s="1"/>
      <c r="C289" s="1"/>
      <c r="D289" s="1"/>
    </row>
    <row r="290" spans="1:4">
      <c r="A290" s="1"/>
      <c r="B290" s="1"/>
      <c r="C290" s="1"/>
      <c r="D290" s="1"/>
    </row>
    <row r="291" spans="1:4">
      <c r="A291" s="1"/>
      <c r="B291" s="1"/>
      <c r="C291" s="1"/>
      <c r="D291" s="1"/>
    </row>
    <row r="292" spans="1:4">
      <c r="A292" s="1"/>
      <c r="B292" s="1"/>
      <c r="C292" s="1"/>
      <c r="D292" s="1"/>
    </row>
    <row r="293" spans="1:4">
      <c r="A293" s="1"/>
      <c r="B293" s="1"/>
      <c r="C293" s="1"/>
      <c r="D293" s="1"/>
    </row>
    <row r="294" spans="1:4">
      <c r="A294" s="1"/>
      <c r="B294" s="1"/>
      <c r="C294" s="1"/>
      <c r="D294" s="1"/>
    </row>
    <row r="295" spans="1:4">
      <c r="A295" s="1"/>
      <c r="B295" s="1"/>
      <c r="C295" s="1"/>
      <c r="D295" s="1"/>
    </row>
    <row r="296" spans="1:4">
      <c r="A296" s="1"/>
      <c r="B296" s="1"/>
      <c r="C296" s="1"/>
      <c r="D296" s="1"/>
    </row>
    <row r="297" spans="1:4">
      <c r="A297" s="1"/>
      <c r="B297" s="1"/>
      <c r="C297" s="1"/>
      <c r="D297" s="1"/>
    </row>
    <row r="298" spans="1:4">
      <c r="A298" s="1"/>
      <c r="B298" s="1"/>
      <c r="C298" s="1"/>
      <c r="D298" s="1"/>
    </row>
    <row r="299" spans="1:4">
      <c r="A299" s="1"/>
      <c r="B299" s="1"/>
      <c r="C299" s="1"/>
      <c r="D299" s="1"/>
    </row>
    <row r="300" spans="1:4">
      <c r="A300" s="1"/>
      <c r="B300" s="1"/>
      <c r="C300" s="1"/>
      <c r="D300" s="1"/>
    </row>
    <row r="301" spans="1:4">
      <c r="A301" s="1"/>
      <c r="B301" s="1"/>
      <c r="C301" s="1"/>
      <c r="D301" s="1"/>
    </row>
    <row r="302" spans="1:4">
      <c r="A302" s="1"/>
      <c r="B302" s="1"/>
      <c r="C302" s="1"/>
      <c r="D302" s="1"/>
    </row>
    <row r="303" spans="1:4">
      <c r="A303" s="1"/>
      <c r="B303" s="1"/>
      <c r="C303" s="1"/>
      <c r="D303" s="1"/>
    </row>
    <row r="304" spans="1:4">
      <c r="A304" s="1"/>
      <c r="B304" s="1"/>
      <c r="C304" s="1"/>
      <c r="D304" s="1"/>
    </row>
    <row r="305" spans="1:10">
      <c r="A305" s="1"/>
      <c r="B305" s="1"/>
      <c r="C305" s="1"/>
      <c r="D305" s="1"/>
    </row>
    <row r="306" spans="1:10">
      <c r="A306" s="1"/>
      <c r="B306" s="1"/>
      <c r="C306" s="1"/>
      <c r="D306" s="1"/>
    </row>
    <row r="307" spans="1:10">
      <c r="A307" s="1"/>
      <c r="B307" s="1"/>
      <c r="C307" s="1"/>
      <c r="D307" s="1"/>
    </row>
    <row r="308" spans="1:10">
      <c r="A308" s="1"/>
      <c r="B308" s="1"/>
      <c r="C308" s="1"/>
      <c r="D308" s="1"/>
    </row>
    <row r="309" spans="1:10">
      <c r="A309" s="1"/>
      <c r="B309" s="1"/>
      <c r="C309" s="1"/>
      <c r="D309" s="1"/>
    </row>
    <row r="310" spans="1:10">
      <c r="A310" s="1"/>
      <c r="B310" s="1"/>
      <c r="C310" s="1"/>
      <c r="D310" s="1"/>
    </row>
    <row r="311" spans="1:10">
      <c r="A311" s="1"/>
      <c r="B311" s="1"/>
      <c r="C311" s="1"/>
      <c r="D311" s="1"/>
    </row>
    <row r="312" spans="1:10">
      <c r="A312" s="1"/>
      <c r="B312" s="1"/>
      <c r="C312" s="1"/>
      <c r="D312" s="1"/>
    </row>
    <row r="313" spans="1:10">
      <c r="A313" s="1"/>
      <c r="B313" s="1"/>
      <c r="C313" s="1"/>
      <c r="D313" s="1"/>
    </row>
    <row r="314" spans="1:10">
      <c r="A314" s="1"/>
      <c r="B314" s="1"/>
      <c r="C314" s="1"/>
      <c r="D314" s="1"/>
    </row>
    <row r="315" spans="1:10">
      <c r="A315" s="1"/>
      <c r="B315" s="1"/>
      <c r="C315" s="1"/>
      <c r="D315" s="1"/>
    </row>
    <row r="316" spans="1:10">
      <c r="A316" s="1"/>
      <c r="B316" s="1"/>
      <c r="C316" s="1"/>
      <c r="D316" s="1"/>
    </row>
    <row r="317" spans="1:10">
      <c r="A317" s="1"/>
      <c r="B317" s="1"/>
      <c r="C317" s="1"/>
      <c r="D317" s="1"/>
    </row>
    <row r="318" spans="1:10">
      <c r="A318" s="1"/>
      <c r="B318" s="1"/>
      <c r="C318" s="1"/>
      <c r="D318" s="1"/>
    </row>
    <row r="319" spans="1:10">
      <c r="A319" s="1"/>
      <c r="B319" s="1"/>
      <c r="C319" s="1"/>
      <c r="D319" s="1"/>
      <c r="G319" s="1"/>
      <c r="H319" s="1"/>
      <c r="I319" s="1"/>
      <c r="J319" s="1"/>
    </row>
    <row r="320" spans="1:10">
      <c r="A320" s="1"/>
      <c r="B320" s="1"/>
      <c r="C320" s="1"/>
      <c r="D320" s="1"/>
      <c r="G320" s="1"/>
      <c r="H320" s="1"/>
      <c r="I320" s="1"/>
      <c r="J320" s="1"/>
    </row>
    <row r="321" spans="1:10">
      <c r="A321" s="1"/>
      <c r="B321" s="1"/>
      <c r="C321" s="1"/>
      <c r="D321" s="1"/>
      <c r="G321" s="1"/>
      <c r="H321" s="1"/>
      <c r="I321" s="1"/>
      <c r="J321" s="1"/>
    </row>
    <row r="322" spans="1:10">
      <c r="A322" s="1"/>
      <c r="B322" s="1"/>
      <c r="C322" s="1"/>
      <c r="D322" s="1"/>
      <c r="G322" s="1"/>
      <c r="H322" s="1"/>
      <c r="I322" s="1"/>
      <c r="J322" s="1"/>
    </row>
    <row r="323" spans="1:10">
      <c r="A323" s="1"/>
      <c r="B323" s="1"/>
      <c r="C323" s="1"/>
      <c r="D323" s="1"/>
      <c r="G323" s="1"/>
      <c r="H323" s="1"/>
      <c r="I323" s="1"/>
      <c r="J323" s="1"/>
    </row>
    <row r="324" spans="1:10">
      <c r="A324" s="1"/>
      <c r="B324" s="1"/>
      <c r="C324" s="1"/>
      <c r="D324" s="1"/>
      <c r="G324" s="1"/>
      <c r="H324" s="1"/>
      <c r="I324" s="1"/>
      <c r="J324" s="1"/>
    </row>
    <row r="325" spans="1:10">
      <c r="A325" s="1"/>
      <c r="B325" s="1"/>
      <c r="C325" s="1"/>
      <c r="D325" s="1"/>
      <c r="G325" s="1"/>
      <c r="H325" s="1"/>
      <c r="I325" s="1"/>
      <c r="J325" s="1"/>
    </row>
    <row r="326" spans="1:10">
      <c r="A326" s="1"/>
      <c r="B326" s="1"/>
      <c r="C326" s="1"/>
      <c r="D326" s="1"/>
      <c r="G326" s="1"/>
      <c r="H326" s="1"/>
      <c r="I326" s="1"/>
      <c r="J326" s="1"/>
    </row>
    <row r="327" spans="1:10">
      <c r="A327" s="1"/>
      <c r="B327" s="1"/>
      <c r="C327" s="1"/>
      <c r="D327" s="1"/>
      <c r="G327" s="1"/>
      <c r="H327" s="1"/>
      <c r="I327" s="1"/>
      <c r="J327" s="1"/>
    </row>
    <row r="328" spans="1:10">
      <c r="A328" s="1"/>
      <c r="B328" s="1"/>
      <c r="C328" s="1"/>
      <c r="D328" s="1"/>
      <c r="G328" s="1"/>
      <c r="H328" s="1"/>
      <c r="I328" s="1"/>
      <c r="J328" s="1"/>
    </row>
    <row r="329" spans="1:10">
      <c r="A329" s="1"/>
      <c r="B329" s="1"/>
      <c r="C329" s="1"/>
      <c r="D329" s="1"/>
      <c r="G329" s="1"/>
      <c r="H329" s="1"/>
      <c r="I329" s="1"/>
      <c r="J329" s="1"/>
    </row>
    <row r="330" spans="1:10">
      <c r="A330" s="1"/>
      <c r="B330" s="1"/>
      <c r="C330" s="1"/>
      <c r="D330" s="1"/>
      <c r="G330" s="1"/>
      <c r="H330" s="1"/>
      <c r="I330" s="1"/>
      <c r="J330" s="1"/>
    </row>
    <row r="331" spans="1:10">
      <c r="A331" s="1"/>
      <c r="B331" s="1"/>
      <c r="C331" s="1"/>
      <c r="D331" s="1"/>
      <c r="G331" s="1"/>
      <c r="H331" s="1"/>
      <c r="I331" s="1"/>
      <c r="J331" s="1"/>
    </row>
    <row r="332" spans="1:10">
      <c r="A332" s="1"/>
      <c r="B332" s="1"/>
      <c r="C332" s="1"/>
      <c r="D332" s="1"/>
      <c r="G332" s="1"/>
      <c r="H332" s="1"/>
      <c r="I332" s="1"/>
      <c r="J332" s="1"/>
    </row>
    <row r="333" spans="1:10">
      <c r="A333" s="1"/>
      <c r="B333" s="1"/>
      <c r="C333" s="1"/>
      <c r="D333" s="1"/>
      <c r="G333" s="1"/>
      <c r="H333" s="1"/>
      <c r="I333" s="1"/>
      <c r="J333" s="1"/>
    </row>
    <row r="334" spans="1:10">
      <c r="A334" s="1"/>
      <c r="B334" s="1"/>
      <c r="C334" s="1"/>
      <c r="D334" s="1"/>
      <c r="G334" s="1"/>
      <c r="H334" s="1"/>
      <c r="I334" s="1"/>
      <c r="J334" s="1"/>
    </row>
    <row r="335" spans="1:10">
      <c r="A335" s="1"/>
      <c r="B335" s="1"/>
      <c r="C335" s="1"/>
      <c r="D335" s="1"/>
      <c r="G335" s="1"/>
      <c r="H335" s="1"/>
      <c r="I335" s="1"/>
      <c r="J335" s="1"/>
    </row>
    <row r="336" spans="1:10">
      <c r="A336" s="1"/>
      <c r="B336" s="1"/>
      <c r="C336" s="1"/>
      <c r="D336" s="1"/>
      <c r="G336" s="1"/>
      <c r="H336" s="1"/>
      <c r="I336" s="1"/>
      <c r="J336" s="1"/>
    </row>
    <row r="337" spans="1:10">
      <c r="A337" s="1"/>
      <c r="B337" s="1"/>
      <c r="C337" s="1"/>
      <c r="D337" s="1"/>
      <c r="G337" s="1"/>
      <c r="H337" s="1"/>
      <c r="I337" s="1"/>
      <c r="J337" s="1"/>
    </row>
    <row r="338" spans="1:10">
      <c r="A338" s="1"/>
      <c r="B338" s="1"/>
      <c r="C338" s="1"/>
      <c r="D338" s="1"/>
      <c r="G338" s="1"/>
      <c r="H338" s="1"/>
      <c r="I338" s="1"/>
      <c r="J338" s="1"/>
    </row>
    <row r="339" spans="1:10">
      <c r="A339" s="1"/>
      <c r="B339" s="1"/>
      <c r="C339" s="1"/>
      <c r="D339" s="1"/>
      <c r="G339" s="1"/>
      <c r="H339" s="1"/>
      <c r="I339" s="1"/>
      <c r="J339" s="1"/>
    </row>
    <row r="340" spans="1:10">
      <c r="A340" s="1"/>
      <c r="B340" s="1"/>
      <c r="C340" s="1"/>
      <c r="D340" s="1"/>
    </row>
    <row r="341" spans="1:10">
      <c r="A341" s="1"/>
      <c r="B341" s="1"/>
      <c r="C341" s="1"/>
      <c r="D341" s="1"/>
    </row>
    <row r="342" spans="1:10">
      <c r="A342" s="1"/>
      <c r="B342" s="1"/>
      <c r="C342" s="1"/>
      <c r="D342" s="1"/>
    </row>
    <row r="343" spans="1:10">
      <c r="A343" s="1"/>
      <c r="B343" s="1"/>
      <c r="C343" s="1"/>
      <c r="D343" s="1"/>
    </row>
    <row r="344" spans="1:10">
      <c r="A344" s="1"/>
      <c r="B344" s="1"/>
      <c r="C344" s="1"/>
      <c r="D344" s="1"/>
    </row>
    <row r="345" spans="1:10">
      <c r="A345" s="1"/>
      <c r="B345" s="1"/>
      <c r="C345" s="1"/>
      <c r="D345" s="1"/>
    </row>
    <row r="346" spans="1:10">
      <c r="A346" s="1"/>
      <c r="B346" s="1"/>
      <c r="C346" s="1"/>
      <c r="D346" s="1"/>
    </row>
    <row r="347" spans="1:10">
      <c r="A347" s="1"/>
      <c r="B347" s="1"/>
      <c r="C347" s="1"/>
      <c r="D347" s="1"/>
    </row>
    <row r="348" spans="1:10">
      <c r="A348" s="1"/>
      <c r="B348" s="1"/>
      <c r="C348" s="1"/>
      <c r="D348" s="1"/>
    </row>
    <row r="349" spans="1:10">
      <c r="A349" s="1"/>
      <c r="B349" s="1"/>
      <c r="C349" s="1"/>
      <c r="D349" s="1"/>
    </row>
    <row r="350" spans="1:10">
      <c r="A350" s="1"/>
      <c r="B350" s="1"/>
      <c r="C350" s="1"/>
      <c r="D350" s="1"/>
    </row>
    <row r="351" spans="1:10">
      <c r="A351" s="1"/>
      <c r="B351" s="1"/>
      <c r="C351" s="1"/>
      <c r="D351" s="1"/>
    </row>
    <row r="352" spans="1:10">
      <c r="A352" s="1"/>
      <c r="B352" s="1"/>
      <c r="C352" s="1"/>
      <c r="D352" s="1"/>
    </row>
    <row r="353" spans="1:4">
      <c r="A353" s="1"/>
      <c r="B353" s="1"/>
      <c r="C353" s="1"/>
      <c r="D353" s="1"/>
    </row>
    <row r="354" spans="1:4">
      <c r="A354" s="1"/>
      <c r="B354" s="1"/>
      <c r="C354" s="1"/>
      <c r="D354" s="1"/>
    </row>
    <row r="355" spans="1:4">
      <c r="A355" s="1"/>
      <c r="B355" s="1"/>
      <c r="C355" s="1"/>
      <c r="D355" s="1"/>
    </row>
    <row r="356" spans="1:4">
      <c r="A356" s="1"/>
      <c r="B356" s="1"/>
      <c r="C356" s="1"/>
      <c r="D356" s="1"/>
    </row>
    <row r="357" spans="1:4">
      <c r="A357" s="1"/>
      <c r="B357" s="1"/>
      <c r="C357" s="1"/>
      <c r="D357" s="1"/>
    </row>
    <row r="358" spans="1:4">
      <c r="A358" s="1"/>
      <c r="B358" s="1"/>
      <c r="C358" s="1"/>
      <c r="D358" s="1"/>
    </row>
    <row r="359" spans="1:4">
      <c r="A359" s="1"/>
      <c r="B359" s="1"/>
      <c r="C359" s="1"/>
      <c r="D359" s="1"/>
    </row>
    <row r="360" spans="1:4">
      <c r="A360" s="1"/>
      <c r="B360" s="1"/>
      <c r="C360" s="1"/>
      <c r="D360" s="1"/>
    </row>
    <row r="361" spans="1:4">
      <c r="A361" s="1"/>
      <c r="B361" s="1"/>
      <c r="C361" s="1"/>
      <c r="D361" s="1"/>
    </row>
    <row r="362" spans="1:4">
      <c r="A362" s="1"/>
      <c r="B362" s="1"/>
      <c r="C362" s="1"/>
      <c r="D362" s="1"/>
    </row>
    <row r="363" spans="1:4">
      <c r="A363" s="1"/>
      <c r="B363" s="1"/>
      <c r="C363" s="1"/>
      <c r="D363" s="1"/>
    </row>
    <row r="364" spans="1:4">
      <c r="A364" s="1"/>
      <c r="B364" s="1"/>
      <c r="C364" s="1"/>
      <c r="D364" s="1"/>
    </row>
    <row r="365" spans="1:4">
      <c r="A365" s="1"/>
      <c r="B365" s="1"/>
      <c r="C365" s="1"/>
      <c r="D365" s="1"/>
    </row>
    <row r="366" spans="1:4">
      <c r="A366" s="1"/>
      <c r="B366" s="1"/>
      <c r="C366" s="1"/>
      <c r="D366" s="1"/>
    </row>
    <row r="367" spans="1:4">
      <c r="A367" s="1"/>
      <c r="B367" s="1"/>
      <c r="C367" s="1"/>
      <c r="D367" s="1"/>
    </row>
    <row r="368" spans="1:4">
      <c r="A368" s="1"/>
      <c r="B368" s="1"/>
      <c r="C368" s="1"/>
      <c r="D368" s="1"/>
    </row>
    <row r="369" spans="1:4">
      <c r="A369" s="1"/>
      <c r="B369" s="1"/>
      <c r="C369" s="1"/>
      <c r="D369" s="1"/>
    </row>
    <row r="370" spans="1:4">
      <c r="A370" s="1"/>
      <c r="B370" s="1"/>
      <c r="C370" s="1"/>
      <c r="D370" s="1"/>
    </row>
    <row r="371" spans="1:4">
      <c r="A371" s="1"/>
      <c r="B371" s="1"/>
      <c r="C371" s="1"/>
      <c r="D371" s="1"/>
    </row>
    <row r="372" spans="1:4">
      <c r="A372" s="1"/>
      <c r="B372" s="1"/>
      <c r="C372" s="1"/>
      <c r="D372" s="1"/>
    </row>
    <row r="373" spans="1:4">
      <c r="A373" s="1"/>
      <c r="B373" s="1"/>
      <c r="C373" s="1"/>
      <c r="D373" s="1"/>
    </row>
    <row r="374" spans="1:4">
      <c r="A374" s="1"/>
      <c r="B374" s="1"/>
      <c r="C374" s="1"/>
      <c r="D374" s="1"/>
    </row>
    <row r="375" spans="1:4">
      <c r="A375" s="1"/>
      <c r="B375" s="1"/>
      <c r="C375" s="1"/>
      <c r="D375" s="1"/>
    </row>
    <row r="376" spans="1:4">
      <c r="A376" s="1"/>
      <c r="B376" s="1"/>
      <c r="C376" s="1"/>
      <c r="D376" s="1"/>
    </row>
    <row r="377" spans="1:4">
      <c r="A377" s="1"/>
      <c r="B377" s="1"/>
      <c r="C377" s="1"/>
      <c r="D377" s="1"/>
    </row>
    <row r="378" spans="1:4">
      <c r="A378" s="1"/>
      <c r="B378" s="1"/>
      <c r="C378" s="1"/>
      <c r="D378" s="1"/>
    </row>
    <row r="379" spans="1:4">
      <c r="A379" s="1"/>
      <c r="B379" s="1"/>
      <c r="C379" s="1"/>
      <c r="D379" s="1"/>
    </row>
    <row r="380" spans="1:4">
      <c r="A380" s="1"/>
      <c r="B380" s="1"/>
      <c r="C380" s="1"/>
      <c r="D380" s="1"/>
    </row>
    <row r="381" spans="1:4">
      <c r="A381" s="1"/>
      <c r="B381" s="1"/>
      <c r="C381" s="1"/>
      <c r="D381" s="1"/>
    </row>
    <row r="382" spans="1:4">
      <c r="A382" s="1"/>
      <c r="B382" s="1"/>
      <c r="C382" s="1"/>
      <c r="D382" s="1"/>
    </row>
    <row r="383" spans="1:4">
      <c r="A383" s="1"/>
      <c r="B383" s="1"/>
      <c r="C383" s="1"/>
      <c r="D383" s="1"/>
    </row>
    <row r="384" spans="1:4">
      <c r="A384" s="1"/>
      <c r="B384" s="1"/>
      <c r="C384" s="1"/>
      <c r="D384" s="1"/>
    </row>
    <row r="385" spans="1:4">
      <c r="A385" s="1"/>
      <c r="B385" s="1"/>
      <c r="C385" s="1"/>
      <c r="D385" s="1"/>
    </row>
    <row r="386" spans="1:4">
      <c r="A386" s="1"/>
      <c r="B386" s="1"/>
      <c r="C386" s="1"/>
      <c r="D386" s="1"/>
    </row>
    <row r="387" spans="1:4">
      <c r="A387" s="1"/>
      <c r="B387" s="1"/>
      <c r="C387" s="1"/>
      <c r="D387" s="1"/>
    </row>
    <row r="388" spans="1:4">
      <c r="A388" s="1"/>
      <c r="B388" s="1"/>
      <c r="C388" s="1"/>
      <c r="D388" s="1"/>
    </row>
    <row r="389" spans="1:4">
      <c r="A389" s="1"/>
      <c r="B389" s="1"/>
      <c r="C389" s="1"/>
      <c r="D389" s="1"/>
    </row>
    <row r="390" spans="1:4">
      <c r="A390" s="1"/>
      <c r="B390" s="1"/>
      <c r="C390" s="1"/>
      <c r="D390" s="1"/>
    </row>
    <row r="391" spans="1:4">
      <c r="A391" s="1"/>
      <c r="B391" s="1"/>
      <c r="C391" s="1"/>
      <c r="D391" s="1"/>
    </row>
    <row r="392" spans="1:4">
      <c r="A392" s="1"/>
      <c r="B392" s="1"/>
      <c r="C392" s="1"/>
      <c r="D392" s="1"/>
    </row>
    <row r="393" spans="1:4">
      <c r="A393" s="1"/>
      <c r="B393" s="1"/>
      <c r="C393" s="1"/>
      <c r="D393" s="1"/>
    </row>
    <row r="394" spans="1:4">
      <c r="A394" s="1"/>
      <c r="B394" s="1"/>
      <c r="C394" s="1"/>
      <c r="D394" s="1"/>
    </row>
    <row r="395" spans="1:4">
      <c r="A395" s="1"/>
      <c r="B395" s="1"/>
      <c r="C395" s="1"/>
      <c r="D395" s="1"/>
    </row>
    <row r="396" spans="1:4">
      <c r="A396" s="1"/>
      <c r="B396" s="1"/>
      <c r="C396" s="1"/>
      <c r="D396" s="1"/>
    </row>
    <row r="397" spans="1:4">
      <c r="A397" s="1"/>
      <c r="B397" s="1"/>
      <c r="C397" s="1"/>
      <c r="D397" s="1"/>
    </row>
    <row r="398" spans="1:4">
      <c r="A398" s="1"/>
      <c r="B398" s="1"/>
      <c r="C398" s="1"/>
      <c r="D398" s="1"/>
    </row>
    <row r="399" spans="1:4">
      <c r="A399" s="1"/>
      <c r="B399" s="1"/>
      <c r="C399" s="1"/>
      <c r="D399" s="1"/>
    </row>
    <row r="400" spans="1:4">
      <c r="A400" s="1"/>
      <c r="B400" s="1"/>
      <c r="C400" s="1"/>
      <c r="D400" s="1"/>
    </row>
    <row r="401" spans="1:10">
      <c r="A401" s="1"/>
      <c r="B401" s="1"/>
      <c r="C401" s="1"/>
      <c r="D401" s="1"/>
    </row>
    <row r="402" spans="1:10">
      <c r="A402" s="1"/>
      <c r="B402" s="1"/>
      <c r="C402" s="1"/>
      <c r="D402" s="1"/>
    </row>
    <row r="403" spans="1:10">
      <c r="A403" s="1"/>
      <c r="B403" s="1"/>
      <c r="C403" s="1"/>
      <c r="D403" s="1"/>
    </row>
    <row r="404" spans="1:10">
      <c r="A404" s="1"/>
      <c r="B404" s="1"/>
      <c r="C404" s="1"/>
      <c r="D404" s="1"/>
    </row>
    <row r="405" spans="1:10">
      <c r="A405" s="1"/>
      <c r="B405" s="1"/>
      <c r="C405" s="1"/>
      <c r="D405" s="1"/>
    </row>
    <row r="406" spans="1:10">
      <c r="A406" s="1"/>
      <c r="B406" s="1"/>
      <c r="C406" s="1"/>
      <c r="D406" s="1"/>
    </row>
    <row r="412" spans="1:10">
      <c r="G412" s="2"/>
      <c r="H412" s="2"/>
      <c r="I412" s="3"/>
      <c r="J412" s="2"/>
    </row>
  </sheetData>
  <mergeCells count="2">
    <mergeCell ref="A17:D17"/>
    <mergeCell ref="J23:K23"/>
  </mergeCells>
  <pageMargins left="0.7" right="0.7" top="0.75" bottom="0.75" header="0.3" footer="0.3"/>
  <pageSetup paperSize="9"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4"/>
  <dimension ref="A1:L412"/>
  <sheetViews>
    <sheetView workbookViewId="0"/>
  </sheetViews>
  <sheetFormatPr defaultRowHeight="15"/>
  <cols>
    <col min="1" max="1" width="19.7109375" style="4" customWidth="1"/>
    <col min="2" max="2" width="15.7109375" style="4" customWidth="1"/>
    <col min="3" max="3" width="9.140625" style="4" customWidth="1"/>
    <col min="4" max="5" width="9.140625" style="4"/>
    <col min="6" max="6" width="21.7109375" style="4" customWidth="1"/>
    <col min="7" max="8" width="9.140625" style="4"/>
    <col min="9" max="9" width="16.7109375" style="4" customWidth="1"/>
    <col min="10" max="10" width="17.42578125" style="4" customWidth="1"/>
    <col min="11" max="11" width="14.140625" style="4" customWidth="1"/>
    <col min="12" max="16384" width="9.140625" style="4"/>
  </cols>
  <sheetData>
    <row r="1" spans="1:10">
      <c r="C1"/>
      <c r="D1"/>
      <c r="F1" s="4" t="s">
        <v>313</v>
      </c>
      <c r="G1" s="5">
        <v>50</v>
      </c>
      <c r="H1" s="5"/>
      <c r="I1" s="5"/>
      <c r="J1" s="5"/>
    </row>
    <row r="2" spans="1:10">
      <c r="C2"/>
      <c r="D2"/>
      <c r="G2" s="5"/>
      <c r="H2" s="5"/>
      <c r="I2" s="5"/>
      <c r="J2" s="5"/>
    </row>
    <row r="3" spans="1:10">
      <c r="C3"/>
      <c r="D3"/>
      <c r="F3" s="5" t="s">
        <v>17</v>
      </c>
      <c r="G3" s="5">
        <f>SUM(C1:C15)</f>
        <v>0</v>
      </c>
      <c r="H3" s="5"/>
      <c r="I3" s="5"/>
      <c r="J3" s="5"/>
    </row>
    <row r="4" spans="1:10">
      <c r="C4"/>
      <c r="D4"/>
      <c r="F4" s="5" t="s">
        <v>18</v>
      </c>
      <c r="G4" s="5">
        <f>SUM(D1:D15)</f>
        <v>0</v>
      </c>
      <c r="H4" s="5"/>
      <c r="I4" s="5"/>
      <c r="J4" s="5"/>
    </row>
    <row r="5" spans="1:10">
      <c r="C5"/>
      <c r="D5"/>
      <c r="F5" s="5" t="s">
        <v>19</v>
      </c>
      <c r="G5" s="5">
        <f>COUNTIF(E1:E15, "GK")</f>
        <v>0</v>
      </c>
      <c r="H5" s="5"/>
      <c r="I5" s="5"/>
      <c r="J5" s="5"/>
    </row>
    <row r="6" spans="1:10">
      <c r="C6"/>
      <c r="D6"/>
      <c r="F6" s="5" t="s">
        <v>20</v>
      </c>
      <c r="G6" s="5">
        <f>COUNTIF(E1:E15, "DF")</f>
        <v>0</v>
      </c>
      <c r="H6" s="5"/>
      <c r="I6" s="5"/>
      <c r="J6" s="5"/>
    </row>
    <row r="7" spans="1:10">
      <c r="C7"/>
      <c r="D7"/>
      <c r="F7" s="5" t="s">
        <v>21</v>
      </c>
      <c r="G7" s="5">
        <f>COUNTIF(E1:E15, "MF")</f>
        <v>0</v>
      </c>
      <c r="H7" s="5"/>
      <c r="I7" s="5"/>
      <c r="J7" s="5"/>
    </row>
    <row r="8" spans="1:10">
      <c r="C8"/>
      <c r="D8"/>
      <c r="F8" s="5" t="s">
        <v>22</v>
      </c>
      <c r="G8" s="5">
        <f>COUNTIF(E1:E15, "FW")</f>
        <v>0</v>
      </c>
      <c r="H8" s="5"/>
      <c r="I8" s="5"/>
      <c r="J8" s="5"/>
    </row>
    <row r="9" spans="1:10">
      <c r="C9"/>
      <c r="D9"/>
      <c r="G9" s="5"/>
      <c r="H9" s="5"/>
      <c r="I9" s="5"/>
      <c r="J9" s="5"/>
    </row>
    <row r="10" spans="1:10">
      <c r="C10"/>
      <c r="D10"/>
      <c r="F10" s="5" t="s">
        <v>5</v>
      </c>
      <c r="G10" s="5">
        <f>COUNTIF(B1:B15, "Arsenal")</f>
        <v>0</v>
      </c>
      <c r="H10" s="5"/>
      <c r="I10" s="5"/>
      <c r="J10" s="5"/>
    </row>
    <row r="11" spans="1:10">
      <c r="C11"/>
      <c r="D11"/>
      <c r="F11" s="5" t="s">
        <v>3</v>
      </c>
      <c r="G11" s="5">
        <f>COUNTIF(B1:B15, "Aston Villa")</f>
        <v>0</v>
      </c>
      <c r="H11" s="5"/>
      <c r="I11" s="5"/>
      <c r="J11" s="5"/>
    </row>
    <row r="12" spans="1:10">
      <c r="C12"/>
      <c r="D12"/>
      <c r="F12" s="5" t="s">
        <v>233</v>
      </c>
      <c r="G12" s="5">
        <f>COUNTIF(B1:B15, "Chelsea")</f>
        <v>0</v>
      </c>
      <c r="H12" s="5"/>
      <c r="I12" s="5"/>
      <c r="J12" s="5"/>
    </row>
    <row r="13" spans="1:10">
      <c r="C13"/>
      <c r="D13"/>
      <c r="F13" s="5" t="s">
        <v>0</v>
      </c>
      <c r="G13" s="5">
        <f>COUNTIF(B1:B15, "Everton")</f>
        <v>0</v>
      </c>
      <c r="H13" s="5"/>
      <c r="I13" s="5"/>
      <c r="J13" s="5"/>
    </row>
    <row r="14" spans="1:10">
      <c r="C14"/>
      <c r="D14"/>
      <c r="F14" s="5" t="s">
        <v>234</v>
      </c>
      <c r="G14" s="5">
        <f>COUNTIF(B1:B15, "Fulham")</f>
        <v>0</v>
      </c>
      <c r="H14" s="5"/>
      <c r="I14" s="5"/>
      <c r="J14" s="5"/>
    </row>
    <row r="15" spans="1:10">
      <c r="A15"/>
      <c r="B15"/>
      <c r="C15"/>
      <c r="D15"/>
      <c r="E15"/>
      <c r="F15" s="5" t="s">
        <v>6</v>
      </c>
      <c r="G15" s="5">
        <f>COUNTIF(B1:B15, "Liverpool")</f>
        <v>0</v>
      </c>
      <c r="H15" s="5"/>
      <c r="I15" s="5"/>
      <c r="J15" s="5"/>
    </row>
    <row r="16" spans="1:10">
      <c r="F16" s="5" t="s">
        <v>8</v>
      </c>
      <c r="G16" s="5">
        <f>COUNTIF(B1:B15, "Man City")</f>
        <v>0</v>
      </c>
      <c r="H16" s="5"/>
      <c r="I16" s="5"/>
      <c r="J16" s="5"/>
    </row>
    <row r="17" spans="1:12">
      <c r="A17" s="7" t="s">
        <v>27</v>
      </c>
      <c r="B17" s="7"/>
      <c r="C17" s="7"/>
      <c r="D17" s="7"/>
      <c r="F17" s="5" t="s">
        <v>235</v>
      </c>
      <c r="G17" s="5">
        <f>COUNTIF(B1:B15, "Man Utd")</f>
        <v>0</v>
      </c>
      <c r="H17" s="5"/>
      <c r="I17" s="5"/>
      <c r="J17" s="5" t="s">
        <v>28</v>
      </c>
      <c r="K17" s="4">
        <f>SUM(K1:K15)</f>
        <v>0</v>
      </c>
      <c r="L17" s="4">
        <f>SUM(L1:L15)</f>
        <v>0</v>
      </c>
    </row>
    <row r="18" spans="1:12">
      <c r="F18" s="5" t="s">
        <v>1</v>
      </c>
      <c r="G18" s="5">
        <f>COUNTIF(B1:B15, "Newcastle")</f>
        <v>0</v>
      </c>
      <c r="H18" s="5"/>
      <c r="I18" s="5"/>
      <c r="J18" s="5"/>
    </row>
    <row r="19" spans="1:12">
      <c r="F19" s="5" t="s">
        <v>4</v>
      </c>
      <c r="G19" s="5">
        <f>COUNTIF(B1:B15, "Norwich")</f>
        <v>0</v>
      </c>
      <c r="H19" s="5"/>
      <c r="I19" s="5"/>
      <c r="J19" s="5"/>
    </row>
    <row r="20" spans="1:12">
      <c r="A20" s="4" t="s">
        <v>81</v>
      </c>
      <c r="B20" s="4" t="s">
        <v>0</v>
      </c>
      <c r="C20" s="4">
        <v>27</v>
      </c>
      <c r="D20" s="4">
        <v>5</v>
      </c>
      <c r="E20" s="4" t="s">
        <v>13</v>
      </c>
      <c r="F20" s="5" t="s">
        <v>2</v>
      </c>
      <c r="G20" s="5">
        <f>COUNTIF(B1:B15, "QPR")</f>
        <v>0</v>
      </c>
      <c r="H20" s="5"/>
      <c r="I20" s="5"/>
      <c r="J20" s="5"/>
    </row>
    <row r="21" spans="1:12">
      <c r="A21" s="4" t="s">
        <v>131</v>
      </c>
      <c r="B21" s="4" t="s">
        <v>9</v>
      </c>
      <c r="C21" s="4">
        <v>26.2</v>
      </c>
      <c r="D21" s="4">
        <v>5.5</v>
      </c>
      <c r="E21" s="4" t="s">
        <v>13</v>
      </c>
      <c r="F21" s="5" t="s">
        <v>10</v>
      </c>
      <c r="G21" s="5">
        <f>COUNTIF(B2:B16, "Reading")</f>
        <v>0</v>
      </c>
      <c r="H21" s="5"/>
      <c r="I21" s="5"/>
      <c r="J21" s="5"/>
    </row>
    <row r="22" spans="1:12">
      <c r="A22" s="4" t="s">
        <v>239</v>
      </c>
      <c r="B22" s="4" t="s">
        <v>29</v>
      </c>
      <c r="C22" s="4">
        <v>26.2</v>
      </c>
      <c r="D22" s="4">
        <v>5.5</v>
      </c>
      <c r="E22" s="4" t="s">
        <v>13</v>
      </c>
      <c r="F22" s="5" t="s">
        <v>24</v>
      </c>
      <c r="G22" s="5">
        <f>COUNTIF(B3:B17, "Southampton")</f>
        <v>0</v>
      </c>
      <c r="H22" s="5"/>
      <c r="I22" s="5"/>
      <c r="J22" s="5"/>
    </row>
    <row r="23" spans="1:12">
      <c r="A23" s="4" t="s">
        <v>76</v>
      </c>
      <c r="B23" s="4" t="s">
        <v>1</v>
      </c>
      <c r="C23" s="4">
        <v>25.5</v>
      </c>
      <c r="D23" s="4">
        <v>5.5</v>
      </c>
      <c r="E23" s="4" t="s">
        <v>13</v>
      </c>
      <c r="F23" s="5" t="s">
        <v>30</v>
      </c>
      <c r="G23" s="5">
        <f>COUNTIF(B1:B15, "Stoke City")</f>
        <v>0</v>
      </c>
      <c r="H23" s="5"/>
      <c r="I23" s="6"/>
      <c r="J23" s="8" t="s">
        <v>26</v>
      </c>
      <c r="K23" s="8"/>
      <c r="L23" s="6"/>
    </row>
    <row r="24" spans="1:12">
      <c r="A24" s="4" t="s">
        <v>205</v>
      </c>
      <c r="B24" s="4" t="s">
        <v>30</v>
      </c>
      <c r="C24" s="4">
        <v>24.9</v>
      </c>
      <c r="D24" s="4">
        <v>7.5</v>
      </c>
      <c r="E24" s="4" t="s">
        <v>16</v>
      </c>
      <c r="F24" s="5" t="s">
        <v>9</v>
      </c>
      <c r="G24" s="5">
        <f>COUNTIF(B1:B15, "Sunderland")</f>
        <v>0</v>
      </c>
      <c r="H24" s="5"/>
      <c r="I24" s="5"/>
      <c r="J24" s="5"/>
    </row>
    <row r="25" spans="1:12">
      <c r="A25" s="4" t="s">
        <v>172</v>
      </c>
      <c r="B25" s="4" t="s">
        <v>5</v>
      </c>
      <c r="C25" s="4">
        <v>24.5</v>
      </c>
      <c r="D25" s="4">
        <v>5.5</v>
      </c>
      <c r="E25" s="4" t="s">
        <v>14</v>
      </c>
      <c r="F25" s="5" t="s">
        <v>11</v>
      </c>
      <c r="G25" s="5">
        <f>COUNTIF(B1:B15, "Swansea")</f>
        <v>0</v>
      </c>
      <c r="H25" s="5"/>
      <c r="I25" s="5"/>
      <c r="J25" s="5"/>
    </row>
    <row r="26" spans="1:12">
      <c r="A26" s="4" t="s">
        <v>39</v>
      </c>
      <c r="B26" s="4" t="s">
        <v>4</v>
      </c>
      <c r="C26" s="4">
        <v>24.3</v>
      </c>
      <c r="D26" s="4">
        <v>6.5</v>
      </c>
      <c r="E26" s="4" t="s">
        <v>13</v>
      </c>
      <c r="F26" s="5" t="s">
        <v>25</v>
      </c>
      <c r="G26" s="5">
        <f>COUNTIF(B1:B15, "Tottenham")</f>
        <v>0</v>
      </c>
      <c r="H26" s="5"/>
      <c r="I26" s="5"/>
      <c r="J26" s="5"/>
    </row>
    <row r="27" spans="1:12">
      <c r="A27" s="4" t="s">
        <v>243</v>
      </c>
      <c r="B27" s="4" t="s">
        <v>24</v>
      </c>
      <c r="C27" s="4">
        <v>24.2</v>
      </c>
      <c r="D27" s="4">
        <v>5</v>
      </c>
      <c r="E27" s="4" t="s">
        <v>14</v>
      </c>
      <c r="F27" s="5" t="s">
        <v>7</v>
      </c>
      <c r="G27" s="5">
        <f>COUNTIF(B1:B15, "West Brom")</f>
        <v>0</v>
      </c>
      <c r="H27" s="5"/>
      <c r="I27" s="5"/>
      <c r="J27" s="5"/>
    </row>
    <row r="28" spans="1:12">
      <c r="A28" s="4" t="s">
        <v>112</v>
      </c>
      <c r="B28" s="4" t="s">
        <v>1</v>
      </c>
      <c r="C28" s="4">
        <v>23.7</v>
      </c>
      <c r="D28" s="4">
        <v>6</v>
      </c>
      <c r="E28" s="4" t="s">
        <v>14</v>
      </c>
      <c r="F28" s="5" t="s">
        <v>12</v>
      </c>
      <c r="G28" s="5">
        <f>COUNTIF(B2:B16, "West Ham")</f>
        <v>0</v>
      </c>
      <c r="H28" s="5"/>
      <c r="I28" s="5"/>
      <c r="J28" s="5"/>
    </row>
    <row r="29" spans="1:12">
      <c r="A29" s="4" t="s">
        <v>62</v>
      </c>
      <c r="B29" s="4" t="s">
        <v>6</v>
      </c>
      <c r="C29" s="4">
        <v>23.6</v>
      </c>
      <c r="D29" s="4">
        <v>7.5</v>
      </c>
      <c r="E29" s="4" t="s">
        <v>14</v>
      </c>
      <c r="F29" s="5" t="s">
        <v>29</v>
      </c>
      <c r="G29" s="5">
        <f>COUNTIF(B1:B15, "Wigan")</f>
        <v>0</v>
      </c>
      <c r="H29" s="5"/>
      <c r="I29" s="5"/>
      <c r="J29" s="5"/>
    </row>
    <row r="30" spans="1:12">
      <c r="A30" s="4" t="s">
        <v>43</v>
      </c>
      <c r="B30" s="4" t="s">
        <v>2</v>
      </c>
      <c r="C30" s="4">
        <v>23.4</v>
      </c>
      <c r="D30" s="4">
        <v>6.5</v>
      </c>
      <c r="E30" s="4" t="s">
        <v>14</v>
      </c>
      <c r="F30" s="5" t="s">
        <v>23</v>
      </c>
      <c r="G30" s="4">
        <f>MAX(G10:G29)</f>
        <v>0</v>
      </c>
      <c r="H30" s="5"/>
      <c r="I30" s="5"/>
      <c r="J30" s="5"/>
    </row>
    <row r="31" spans="1:12">
      <c r="A31" s="4" t="s">
        <v>238</v>
      </c>
      <c r="B31" s="4" t="s">
        <v>24</v>
      </c>
      <c r="C31" s="4">
        <v>23.4</v>
      </c>
      <c r="D31" s="4">
        <v>6.5</v>
      </c>
      <c r="E31" s="4" t="s">
        <v>15</v>
      </c>
      <c r="G31" s="5"/>
      <c r="H31" s="5"/>
      <c r="I31" s="5"/>
      <c r="J31" s="5"/>
    </row>
    <row r="32" spans="1:12">
      <c r="A32" s="4" t="s">
        <v>139</v>
      </c>
      <c r="B32" s="4" t="s">
        <v>11</v>
      </c>
      <c r="C32" s="4">
        <v>23</v>
      </c>
      <c r="D32" s="4">
        <v>5</v>
      </c>
      <c r="E32" s="4" t="s">
        <v>14</v>
      </c>
      <c r="G32" s="5"/>
      <c r="H32" s="5"/>
      <c r="I32" s="5"/>
      <c r="J32" s="5"/>
    </row>
    <row r="33" spans="1:10">
      <c r="A33" s="4" t="s">
        <v>249</v>
      </c>
      <c r="B33" s="4" t="s">
        <v>24</v>
      </c>
      <c r="C33" s="4">
        <v>22.9</v>
      </c>
      <c r="D33" s="4">
        <v>4.5</v>
      </c>
      <c r="E33" s="4" t="s">
        <v>14</v>
      </c>
      <c r="G33" s="5"/>
      <c r="H33" s="5"/>
      <c r="I33" s="5"/>
      <c r="J33" s="5"/>
    </row>
    <row r="34" spans="1:10">
      <c r="A34" s="4" t="s">
        <v>97</v>
      </c>
      <c r="B34" s="4" t="s">
        <v>6</v>
      </c>
      <c r="C34" s="4">
        <v>22.9</v>
      </c>
      <c r="D34" s="4">
        <v>5.5</v>
      </c>
      <c r="E34" s="4" t="s">
        <v>14</v>
      </c>
      <c r="G34" s="5"/>
      <c r="H34" s="5"/>
      <c r="I34" s="5"/>
      <c r="J34" s="5"/>
    </row>
    <row r="35" spans="1:10">
      <c r="A35" s="4" t="s">
        <v>145</v>
      </c>
      <c r="B35" s="4" t="s">
        <v>25</v>
      </c>
      <c r="C35" s="4">
        <v>22.9</v>
      </c>
      <c r="D35" s="4">
        <v>5.5</v>
      </c>
      <c r="E35" s="4" t="s">
        <v>15</v>
      </c>
      <c r="G35" s="5"/>
      <c r="H35" s="5"/>
      <c r="I35" s="5"/>
      <c r="J35" s="5"/>
    </row>
    <row r="36" spans="1:10">
      <c r="A36" s="4" t="s">
        <v>74</v>
      </c>
      <c r="B36" s="4" t="s">
        <v>1</v>
      </c>
      <c r="C36" s="4">
        <v>22.7</v>
      </c>
      <c r="D36" s="4">
        <v>5.5</v>
      </c>
      <c r="E36" s="4" t="s">
        <v>13</v>
      </c>
    </row>
    <row r="37" spans="1:10">
      <c r="A37" s="4" t="s">
        <v>221</v>
      </c>
      <c r="B37" s="4" t="s">
        <v>29</v>
      </c>
      <c r="C37" s="4">
        <v>22.4</v>
      </c>
      <c r="D37" s="4">
        <v>5.5</v>
      </c>
      <c r="E37" s="4" t="s">
        <v>14</v>
      </c>
    </row>
    <row r="38" spans="1:10">
      <c r="A38" s="4" t="s">
        <v>78</v>
      </c>
      <c r="B38" s="4" t="s">
        <v>9</v>
      </c>
      <c r="C38" s="4">
        <v>22.4</v>
      </c>
      <c r="D38" s="4">
        <v>5.5</v>
      </c>
      <c r="E38" s="4" t="s">
        <v>14</v>
      </c>
    </row>
    <row r="39" spans="1:10">
      <c r="A39" s="4" t="s">
        <v>121</v>
      </c>
      <c r="B39" s="4" t="s">
        <v>1</v>
      </c>
      <c r="C39" s="4">
        <v>22.3</v>
      </c>
      <c r="D39" s="4">
        <v>6</v>
      </c>
      <c r="E39" s="4" t="s">
        <v>14</v>
      </c>
    </row>
    <row r="40" spans="1:10">
      <c r="A40" s="4" t="s">
        <v>82</v>
      </c>
      <c r="B40" s="4" t="s">
        <v>1</v>
      </c>
      <c r="C40" s="4">
        <v>22.3</v>
      </c>
      <c r="D40" s="4">
        <v>6</v>
      </c>
      <c r="E40" s="4" t="s">
        <v>14</v>
      </c>
    </row>
    <row r="41" spans="1:10">
      <c r="A41" s="4" t="s">
        <v>71</v>
      </c>
      <c r="B41" s="4" t="s">
        <v>0</v>
      </c>
      <c r="C41" s="4">
        <v>22.2</v>
      </c>
      <c r="D41" s="4">
        <v>6.5</v>
      </c>
      <c r="E41" s="4" t="s">
        <v>13</v>
      </c>
    </row>
    <row r="42" spans="1:10">
      <c r="A42" s="4" t="s">
        <v>114</v>
      </c>
      <c r="B42" s="4" t="s">
        <v>12</v>
      </c>
      <c r="C42" s="4">
        <v>22.2</v>
      </c>
      <c r="D42" s="4">
        <v>6</v>
      </c>
      <c r="E42" s="4" t="s">
        <v>15</v>
      </c>
    </row>
    <row r="43" spans="1:10">
      <c r="A43" s="4" t="s">
        <v>147</v>
      </c>
      <c r="B43" s="4" t="s">
        <v>0</v>
      </c>
      <c r="C43" s="4">
        <v>22</v>
      </c>
      <c r="D43" s="4">
        <v>6.5</v>
      </c>
      <c r="E43" s="4" t="s">
        <v>14</v>
      </c>
    </row>
    <row r="44" spans="1:10">
      <c r="A44" s="4" t="s">
        <v>157</v>
      </c>
      <c r="B44" s="4" t="s">
        <v>6</v>
      </c>
      <c r="C44" s="4">
        <v>21.8</v>
      </c>
      <c r="D44" s="4">
        <v>5</v>
      </c>
      <c r="E44" s="4" t="s">
        <v>14</v>
      </c>
    </row>
    <row r="45" spans="1:10">
      <c r="A45" s="4" t="s">
        <v>245</v>
      </c>
      <c r="B45" s="4" t="s">
        <v>8</v>
      </c>
      <c r="C45" s="4">
        <v>21.8</v>
      </c>
      <c r="D45" s="4">
        <v>5</v>
      </c>
      <c r="E45" s="4" t="s">
        <v>14</v>
      </c>
    </row>
    <row r="46" spans="1:10">
      <c r="A46" s="4" t="s">
        <v>183</v>
      </c>
      <c r="B46" s="4" t="s">
        <v>8</v>
      </c>
      <c r="C46" s="4">
        <v>21.7</v>
      </c>
      <c r="D46" s="4">
        <v>7.5</v>
      </c>
      <c r="E46" s="4" t="s">
        <v>16</v>
      </c>
    </row>
    <row r="47" spans="1:10">
      <c r="A47" s="4" t="s">
        <v>52</v>
      </c>
      <c r="B47" s="4" t="s">
        <v>9</v>
      </c>
      <c r="C47" s="4">
        <v>21.7</v>
      </c>
      <c r="D47" s="4">
        <v>6.5</v>
      </c>
      <c r="E47" s="4" t="s">
        <v>15</v>
      </c>
    </row>
    <row r="48" spans="1:10">
      <c r="A48" s="4" t="s">
        <v>66</v>
      </c>
      <c r="B48" s="4" t="s">
        <v>9</v>
      </c>
      <c r="C48" s="4">
        <v>21.3</v>
      </c>
      <c r="D48" s="4">
        <v>6</v>
      </c>
      <c r="E48" s="4" t="s">
        <v>16</v>
      </c>
    </row>
    <row r="49" spans="1:5">
      <c r="A49" s="4" t="s">
        <v>47</v>
      </c>
      <c r="B49" s="4" t="s">
        <v>6</v>
      </c>
      <c r="C49" s="4">
        <v>21.3</v>
      </c>
      <c r="D49" s="4">
        <v>5.5</v>
      </c>
      <c r="E49" s="4" t="s">
        <v>13</v>
      </c>
    </row>
    <row r="50" spans="1:5">
      <c r="A50" s="4" t="s">
        <v>206</v>
      </c>
      <c r="B50" s="4" t="s">
        <v>29</v>
      </c>
      <c r="C50" s="4">
        <v>21.3</v>
      </c>
      <c r="D50" s="4">
        <v>7</v>
      </c>
      <c r="E50" s="4" t="s">
        <v>15</v>
      </c>
    </row>
    <row r="51" spans="1:5">
      <c r="A51" s="4" t="s">
        <v>242</v>
      </c>
      <c r="B51" s="4" t="s">
        <v>25</v>
      </c>
      <c r="C51" s="4">
        <v>21.2</v>
      </c>
      <c r="D51" s="4">
        <v>6</v>
      </c>
      <c r="E51" s="4" t="s">
        <v>15</v>
      </c>
    </row>
    <row r="52" spans="1:5">
      <c r="A52" s="4" t="s">
        <v>248</v>
      </c>
      <c r="B52" s="4" t="s">
        <v>3</v>
      </c>
      <c r="C52" s="4">
        <v>21.2</v>
      </c>
      <c r="D52" s="4">
        <v>5</v>
      </c>
      <c r="E52" s="4" t="s">
        <v>13</v>
      </c>
    </row>
    <row r="53" spans="1:5">
      <c r="A53" s="4" t="s">
        <v>232</v>
      </c>
      <c r="B53" s="4" t="s">
        <v>25</v>
      </c>
      <c r="C53" s="4">
        <v>21.1</v>
      </c>
      <c r="D53" s="4">
        <v>9</v>
      </c>
      <c r="E53" s="4" t="s">
        <v>15</v>
      </c>
    </row>
    <row r="54" spans="1:5">
      <c r="A54" s="4" t="s">
        <v>49</v>
      </c>
      <c r="B54" s="4" t="s">
        <v>12</v>
      </c>
      <c r="C54" s="4">
        <v>21</v>
      </c>
      <c r="D54" s="4">
        <v>5</v>
      </c>
      <c r="E54" s="4" t="s">
        <v>13</v>
      </c>
    </row>
    <row r="55" spans="1:5">
      <c r="A55" s="4" t="s">
        <v>112</v>
      </c>
      <c r="B55" s="4" t="s">
        <v>11</v>
      </c>
      <c r="C55" s="4">
        <v>20.9</v>
      </c>
      <c r="D55" s="4">
        <v>7</v>
      </c>
      <c r="E55" s="4" t="s">
        <v>15</v>
      </c>
    </row>
    <row r="56" spans="1:5">
      <c r="A56" s="4" t="s">
        <v>35</v>
      </c>
      <c r="B56" s="4" t="s">
        <v>7</v>
      </c>
      <c r="C56" s="4">
        <v>20.8</v>
      </c>
      <c r="D56" s="4">
        <v>12</v>
      </c>
      <c r="E56" s="4" t="s">
        <v>15</v>
      </c>
    </row>
    <row r="57" spans="1:5">
      <c r="A57" s="4" t="s">
        <v>138</v>
      </c>
      <c r="B57" s="4" t="s">
        <v>4</v>
      </c>
      <c r="C57" s="4">
        <v>20.7</v>
      </c>
      <c r="D57" s="4">
        <v>6</v>
      </c>
      <c r="E57" s="4" t="s">
        <v>14</v>
      </c>
    </row>
    <row r="58" spans="1:5">
      <c r="A58" s="4" t="s">
        <v>151</v>
      </c>
      <c r="B58" s="4" t="s">
        <v>1</v>
      </c>
      <c r="C58" s="4">
        <v>20.6</v>
      </c>
      <c r="D58" s="4">
        <v>9</v>
      </c>
      <c r="E58" s="4" t="s">
        <v>15</v>
      </c>
    </row>
    <row r="59" spans="1:5">
      <c r="A59" s="4" t="s">
        <v>176</v>
      </c>
      <c r="B59" s="4" t="s">
        <v>29</v>
      </c>
      <c r="C59" s="4">
        <v>20.6</v>
      </c>
      <c r="D59" s="4">
        <v>5</v>
      </c>
      <c r="E59" s="4" t="s">
        <v>14</v>
      </c>
    </row>
    <row r="60" spans="1:5">
      <c r="A60" s="4" t="s">
        <v>94</v>
      </c>
      <c r="B60" s="4" t="s">
        <v>12</v>
      </c>
      <c r="C60" s="4">
        <v>20.5</v>
      </c>
      <c r="D60" s="4">
        <v>5.5</v>
      </c>
      <c r="E60" s="4" t="s">
        <v>14</v>
      </c>
    </row>
    <row r="61" spans="1:5">
      <c r="A61" s="4" t="s">
        <v>236</v>
      </c>
      <c r="B61" s="4" t="s">
        <v>5</v>
      </c>
      <c r="C61" s="4">
        <v>20.5</v>
      </c>
      <c r="D61" s="4">
        <v>10</v>
      </c>
      <c r="E61" s="4" t="s">
        <v>15</v>
      </c>
    </row>
    <row r="62" spans="1:5">
      <c r="A62" s="4" t="s">
        <v>110</v>
      </c>
      <c r="B62" s="4" t="s">
        <v>9</v>
      </c>
      <c r="C62" s="4">
        <v>20.399999999999999</v>
      </c>
      <c r="D62" s="4">
        <v>5.5</v>
      </c>
      <c r="E62" s="4" t="s">
        <v>14</v>
      </c>
    </row>
    <row r="63" spans="1:5">
      <c r="A63" s="4" t="s">
        <v>38</v>
      </c>
      <c r="B63" s="4" t="s">
        <v>5</v>
      </c>
      <c r="C63" s="4">
        <v>20.399999999999999</v>
      </c>
      <c r="D63" s="4">
        <v>9.5</v>
      </c>
      <c r="E63" s="4" t="s">
        <v>15</v>
      </c>
    </row>
    <row r="64" spans="1:5">
      <c r="A64" s="4" t="s">
        <v>41</v>
      </c>
      <c r="B64" s="4" t="s">
        <v>0</v>
      </c>
      <c r="C64" s="4">
        <v>20.2</v>
      </c>
      <c r="D64" s="4">
        <v>10.5</v>
      </c>
      <c r="E64" s="4" t="s">
        <v>15</v>
      </c>
    </row>
    <row r="65" spans="1:5">
      <c r="A65" s="4" t="s">
        <v>108</v>
      </c>
      <c r="B65" s="4" t="s">
        <v>25</v>
      </c>
      <c r="C65" s="4">
        <v>20.2</v>
      </c>
      <c r="D65" s="4">
        <v>5.5</v>
      </c>
      <c r="E65" s="4" t="s">
        <v>14</v>
      </c>
    </row>
    <row r="66" spans="1:5">
      <c r="A66" s="4" t="s">
        <v>144</v>
      </c>
      <c r="B66" s="4" t="s">
        <v>6</v>
      </c>
      <c r="C66" s="4">
        <v>20.100000000000001</v>
      </c>
      <c r="D66" s="4">
        <v>7</v>
      </c>
      <c r="E66" s="4" t="s">
        <v>15</v>
      </c>
    </row>
    <row r="67" spans="1:5">
      <c r="A67" s="4" t="s">
        <v>42</v>
      </c>
      <c r="B67" s="4" t="s">
        <v>11</v>
      </c>
      <c r="C67" s="4">
        <v>20.100000000000001</v>
      </c>
      <c r="D67" s="4">
        <v>7</v>
      </c>
      <c r="E67" s="4" t="s">
        <v>15</v>
      </c>
    </row>
    <row r="68" spans="1:5">
      <c r="A68" s="4" t="s">
        <v>132</v>
      </c>
      <c r="B68" s="4" t="s">
        <v>29</v>
      </c>
      <c r="C68" s="4">
        <v>20</v>
      </c>
      <c r="D68" s="4">
        <v>4.5</v>
      </c>
      <c r="E68" s="4" t="s">
        <v>14</v>
      </c>
    </row>
    <row r="69" spans="1:5">
      <c r="A69" s="4" t="s">
        <v>202</v>
      </c>
      <c r="B69" s="4" t="s">
        <v>0</v>
      </c>
      <c r="C69" s="4">
        <v>20</v>
      </c>
      <c r="D69" s="4">
        <v>9.5</v>
      </c>
      <c r="E69" s="4" t="s">
        <v>15</v>
      </c>
    </row>
    <row r="70" spans="1:5">
      <c r="A70" s="4" t="s">
        <v>240</v>
      </c>
      <c r="B70" s="4" t="s">
        <v>6</v>
      </c>
      <c r="C70" s="4">
        <v>20</v>
      </c>
      <c r="D70" s="4">
        <v>7</v>
      </c>
      <c r="E70" s="4" t="s">
        <v>16</v>
      </c>
    </row>
    <row r="71" spans="1:5">
      <c r="A71" s="4" t="s">
        <v>244</v>
      </c>
      <c r="B71" s="4" t="s">
        <v>30</v>
      </c>
      <c r="C71" s="4">
        <v>20</v>
      </c>
      <c r="D71" s="4">
        <v>5.5</v>
      </c>
      <c r="E71" s="4" t="s">
        <v>15</v>
      </c>
    </row>
    <row r="72" spans="1:5">
      <c r="A72" s="4" t="s">
        <v>72</v>
      </c>
      <c r="B72" s="4" t="s">
        <v>25</v>
      </c>
      <c r="C72" s="4">
        <v>20</v>
      </c>
      <c r="D72" s="4">
        <v>5</v>
      </c>
      <c r="E72" s="4" t="s">
        <v>14</v>
      </c>
    </row>
    <row r="73" spans="1:5">
      <c r="A73" s="4" t="s">
        <v>199</v>
      </c>
      <c r="B73" s="4" t="s">
        <v>0</v>
      </c>
      <c r="C73" s="4">
        <v>19.899999999999999</v>
      </c>
      <c r="D73" s="4">
        <v>8</v>
      </c>
      <c r="E73" s="4" t="s">
        <v>16</v>
      </c>
    </row>
    <row r="74" spans="1:5">
      <c r="A74" s="4" t="s">
        <v>208</v>
      </c>
      <c r="B74" s="4" t="s">
        <v>30</v>
      </c>
      <c r="C74" s="4">
        <v>19.8</v>
      </c>
      <c r="D74" s="4">
        <v>4.5</v>
      </c>
      <c r="E74" s="4" t="s">
        <v>14</v>
      </c>
    </row>
    <row r="75" spans="1:5">
      <c r="A75" s="4" t="s">
        <v>251</v>
      </c>
      <c r="B75" s="4" t="s">
        <v>25</v>
      </c>
      <c r="C75" s="4">
        <v>19.8</v>
      </c>
      <c r="D75" s="4">
        <v>5</v>
      </c>
      <c r="E75" s="4" t="s">
        <v>14</v>
      </c>
    </row>
    <row r="76" spans="1:5">
      <c r="A76" s="4" t="s">
        <v>102</v>
      </c>
      <c r="B76" s="4" t="s">
        <v>6</v>
      </c>
      <c r="C76" s="4">
        <v>19.8</v>
      </c>
      <c r="D76" s="4">
        <v>8.5</v>
      </c>
      <c r="E76" s="4" t="s">
        <v>15</v>
      </c>
    </row>
    <row r="77" spans="1:5">
      <c r="A77" s="4" t="s">
        <v>247</v>
      </c>
      <c r="B77" s="4" t="s">
        <v>30</v>
      </c>
      <c r="C77" s="4">
        <v>19.600000000000001</v>
      </c>
      <c r="D77" s="4">
        <v>5.5</v>
      </c>
      <c r="E77" s="4" t="s">
        <v>15</v>
      </c>
    </row>
    <row r="78" spans="1:5">
      <c r="A78" s="4" t="s">
        <v>112</v>
      </c>
      <c r="B78" s="4" t="s">
        <v>24</v>
      </c>
      <c r="C78" s="4">
        <v>19.399999999999999</v>
      </c>
      <c r="D78" s="4">
        <v>5</v>
      </c>
      <c r="E78" s="4" t="s">
        <v>15</v>
      </c>
    </row>
    <row r="79" spans="1:5">
      <c r="A79" s="4" t="s">
        <v>207</v>
      </c>
      <c r="B79" s="4" t="s">
        <v>7</v>
      </c>
      <c r="C79" s="4">
        <v>19.399999999999999</v>
      </c>
      <c r="D79" s="4">
        <v>7</v>
      </c>
      <c r="E79" s="4" t="s">
        <v>14</v>
      </c>
    </row>
    <row r="80" spans="1:5">
      <c r="A80" s="4" t="s">
        <v>58</v>
      </c>
      <c r="B80" s="4" t="s">
        <v>1</v>
      </c>
      <c r="C80" s="4">
        <v>19.3</v>
      </c>
      <c r="D80" s="4">
        <v>11</v>
      </c>
      <c r="E80" s="4" t="s">
        <v>16</v>
      </c>
    </row>
    <row r="81" spans="1:5">
      <c r="A81" s="4" t="s">
        <v>254</v>
      </c>
      <c r="B81" s="4" t="s">
        <v>24</v>
      </c>
      <c r="C81" s="4">
        <v>19.2</v>
      </c>
      <c r="D81" s="4">
        <v>5</v>
      </c>
      <c r="E81" s="4" t="s">
        <v>14</v>
      </c>
    </row>
    <row r="82" spans="1:5">
      <c r="A82" s="4" t="s">
        <v>153</v>
      </c>
      <c r="B82" s="4" t="s">
        <v>24</v>
      </c>
      <c r="C82" s="4">
        <v>19.100000000000001</v>
      </c>
      <c r="D82" s="4">
        <v>4.5</v>
      </c>
      <c r="E82" s="4" t="s">
        <v>14</v>
      </c>
    </row>
    <row r="83" spans="1:5">
      <c r="A83" s="4" t="s">
        <v>61</v>
      </c>
      <c r="B83" s="4" t="s">
        <v>2</v>
      </c>
      <c r="C83" s="4">
        <v>19</v>
      </c>
      <c r="D83" s="4">
        <v>6</v>
      </c>
      <c r="E83" s="4" t="s">
        <v>13</v>
      </c>
    </row>
    <row r="84" spans="1:5">
      <c r="A84" s="4" t="s">
        <v>79</v>
      </c>
      <c r="B84" s="4" t="s">
        <v>8</v>
      </c>
      <c r="C84" s="4">
        <v>19</v>
      </c>
      <c r="D84" s="4">
        <v>5</v>
      </c>
      <c r="E84" s="4" t="s">
        <v>14</v>
      </c>
    </row>
    <row r="85" spans="1:5">
      <c r="A85" s="4" t="s">
        <v>50</v>
      </c>
      <c r="B85" s="4" t="s">
        <v>7</v>
      </c>
      <c r="C85" s="4">
        <v>19</v>
      </c>
      <c r="D85" s="4">
        <v>6</v>
      </c>
      <c r="E85" s="4" t="s">
        <v>14</v>
      </c>
    </row>
    <row r="86" spans="1:5">
      <c r="A86" s="4" t="s">
        <v>156</v>
      </c>
      <c r="B86" s="4" t="s">
        <v>11</v>
      </c>
      <c r="C86" s="4">
        <v>18.899999999999999</v>
      </c>
      <c r="D86" s="4">
        <v>5.5</v>
      </c>
      <c r="E86" s="4" t="s">
        <v>15</v>
      </c>
    </row>
    <row r="87" spans="1:5">
      <c r="A87" s="4" t="s">
        <v>88</v>
      </c>
      <c r="B87" s="4" t="s">
        <v>24</v>
      </c>
      <c r="C87" s="4">
        <v>18.899999999999999</v>
      </c>
      <c r="D87" s="4">
        <v>5.5</v>
      </c>
      <c r="E87" s="4" t="s">
        <v>15</v>
      </c>
    </row>
    <row r="88" spans="1:5">
      <c r="A88" s="4" t="s">
        <v>56</v>
      </c>
      <c r="B88" s="4" t="s">
        <v>0</v>
      </c>
      <c r="C88" s="4">
        <v>18.8</v>
      </c>
      <c r="D88" s="4">
        <v>8</v>
      </c>
      <c r="E88" s="4" t="s">
        <v>15</v>
      </c>
    </row>
    <row r="89" spans="1:5">
      <c r="A89" s="4" t="s">
        <v>162</v>
      </c>
      <c r="B89" s="4" t="s">
        <v>0</v>
      </c>
      <c r="C89" s="4">
        <v>18.8</v>
      </c>
      <c r="D89" s="4">
        <v>6.5</v>
      </c>
      <c r="E89" s="4" t="s">
        <v>14</v>
      </c>
    </row>
    <row r="90" spans="1:5">
      <c r="A90" s="4" t="s">
        <v>87</v>
      </c>
      <c r="B90" s="4" t="s">
        <v>6</v>
      </c>
      <c r="C90" s="4">
        <v>18.8</v>
      </c>
      <c r="D90" s="4">
        <v>6.5</v>
      </c>
      <c r="E90" s="4" t="s">
        <v>15</v>
      </c>
    </row>
    <row r="91" spans="1:5">
      <c r="A91" s="4" t="s">
        <v>68</v>
      </c>
      <c r="B91" s="4" t="s">
        <v>5</v>
      </c>
      <c r="C91" s="4">
        <v>18.7</v>
      </c>
      <c r="D91" s="4">
        <v>7</v>
      </c>
      <c r="E91" s="4" t="s">
        <v>15</v>
      </c>
    </row>
    <row r="92" spans="1:5">
      <c r="A92" s="4" t="s">
        <v>104</v>
      </c>
      <c r="B92" s="4" t="s">
        <v>24</v>
      </c>
      <c r="C92" s="4">
        <v>18.7</v>
      </c>
      <c r="D92" s="4">
        <v>5.5</v>
      </c>
      <c r="E92" s="4" t="s">
        <v>15</v>
      </c>
    </row>
    <row r="93" spans="1:5">
      <c r="A93" s="4" t="s">
        <v>69</v>
      </c>
      <c r="B93" s="4" t="s">
        <v>11</v>
      </c>
      <c r="C93" s="4">
        <v>18.7</v>
      </c>
      <c r="D93" s="4">
        <v>6</v>
      </c>
      <c r="E93" s="4" t="s">
        <v>15</v>
      </c>
    </row>
    <row r="94" spans="1:5">
      <c r="A94" s="4" t="s">
        <v>31</v>
      </c>
      <c r="B94" s="4" t="s">
        <v>2</v>
      </c>
      <c r="C94" s="4">
        <v>18.7</v>
      </c>
      <c r="D94" s="4">
        <v>14</v>
      </c>
      <c r="E94" s="4" t="s">
        <v>16</v>
      </c>
    </row>
    <row r="95" spans="1:5">
      <c r="A95" s="4" t="s">
        <v>227</v>
      </c>
      <c r="B95" s="4" t="s">
        <v>0</v>
      </c>
      <c r="C95" s="4">
        <v>18.600000000000001</v>
      </c>
      <c r="D95" s="4">
        <v>6.5</v>
      </c>
      <c r="E95" s="4" t="s">
        <v>14</v>
      </c>
    </row>
    <row r="96" spans="1:5">
      <c r="A96" s="4" t="s">
        <v>256</v>
      </c>
      <c r="B96" s="4" t="s">
        <v>3</v>
      </c>
      <c r="C96" s="4">
        <v>18.600000000000001</v>
      </c>
      <c r="D96" s="4">
        <v>5</v>
      </c>
      <c r="E96" s="4" t="s">
        <v>14</v>
      </c>
    </row>
    <row r="97" spans="1:5">
      <c r="A97" s="4" t="s">
        <v>77</v>
      </c>
      <c r="B97" s="4" t="s">
        <v>4</v>
      </c>
      <c r="C97" s="4">
        <v>18.5</v>
      </c>
      <c r="D97" s="4">
        <v>6</v>
      </c>
      <c r="E97" s="4" t="s">
        <v>14</v>
      </c>
    </row>
    <row r="98" spans="1:5">
      <c r="A98" s="4" t="s">
        <v>75</v>
      </c>
      <c r="B98" s="4" t="s">
        <v>25</v>
      </c>
      <c r="C98" s="4">
        <v>18.5</v>
      </c>
      <c r="D98" s="4">
        <v>5.5</v>
      </c>
      <c r="E98" s="4" t="s">
        <v>15</v>
      </c>
    </row>
    <row r="99" spans="1:5">
      <c r="A99" s="4" t="s">
        <v>53</v>
      </c>
      <c r="B99" s="4" t="s">
        <v>5</v>
      </c>
      <c r="C99" s="4">
        <v>18.5</v>
      </c>
      <c r="D99" s="4">
        <v>5.5</v>
      </c>
      <c r="E99" s="4" t="s">
        <v>13</v>
      </c>
    </row>
    <row r="100" spans="1:5">
      <c r="A100" s="4" t="s">
        <v>237</v>
      </c>
      <c r="B100" s="4" t="s">
        <v>3</v>
      </c>
      <c r="C100" s="4">
        <v>18.399999999999999</v>
      </c>
      <c r="D100" s="4">
        <v>9</v>
      </c>
      <c r="E100" s="4" t="s">
        <v>16</v>
      </c>
    </row>
    <row r="101" spans="1:5">
      <c r="A101" s="4" t="s">
        <v>257</v>
      </c>
      <c r="B101" s="4" t="s">
        <v>9</v>
      </c>
      <c r="C101" s="4">
        <v>18.399999999999999</v>
      </c>
      <c r="D101" s="4">
        <v>5</v>
      </c>
      <c r="E101" s="4" t="s">
        <v>14</v>
      </c>
    </row>
    <row r="102" spans="1:5">
      <c r="A102" s="4" t="s">
        <v>44</v>
      </c>
      <c r="B102" s="4" t="s">
        <v>25</v>
      </c>
      <c r="C102" s="4">
        <v>18.399999999999999</v>
      </c>
      <c r="D102" s="4">
        <v>5</v>
      </c>
      <c r="E102" s="4" t="s">
        <v>13</v>
      </c>
    </row>
    <row r="103" spans="1:5">
      <c r="A103" s="4" t="s">
        <v>99</v>
      </c>
      <c r="B103" s="4" t="s">
        <v>25</v>
      </c>
      <c r="C103" s="4">
        <v>18.3</v>
      </c>
      <c r="D103" s="4">
        <v>6</v>
      </c>
      <c r="E103" s="4" t="s">
        <v>15</v>
      </c>
    </row>
    <row r="104" spans="1:5">
      <c r="A104" s="4" t="s">
        <v>175</v>
      </c>
      <c r="B104" s="4" t="s">
        <v>2</v>
      </c>
      <c r="C104" s="4">
        <v>18.3</v>
      </c>
      <c r="D104" s="4">
        <v>6</v>
      </c>
      <c r="E104" s="4" t="s">
        <v>14</v>
      </c>
    </row>
    <row r="105" spans="1:5">
      <c r="A105" s="4" t="s">
        <v>230</v>
      </c>
      <c r="B105" s="4" t="s">
        <v>29</v>
      </c>
      <c r="C105" s="4">
        <v>18.2</v>
      </c>
      <c r="D105" s="4">
        <v>5</v>
      </c>
      <c r="E105" s="4" t="s">
        <v>14</v>
      </c>
    </row>
    <row r="106" spans="1:5">
      <c r="A106" s="4" t="s">
        <v>135</v>
      </c>
      <c r="B106" s="4" t="s">
        <v>8</v>
      </c>
      <c r="C106" s="4">
        <v>18.2</v>
      </c>
      <c r="D106" s="4">
        <v>6</v>
      </c>
      <c r="E106" s="4" t="s">
        <v>15</v>
      </c>
    </row>
    <row r="107" spans="1:5">
      <c r="A107" s="4" t="s">
        <v>40</v>
      </c>
      <c r="B107" s="4" t="s">
        <v>0</v>
      </c>
      <c r="C107" s="4">
        <v>18</v>
      </c>
      <c r="D107" s="4">
        <v>8.5</v>
      </c>
      <c r="E107" s="4" t="s">
        <v>16</v>
      </c>
    </row>
    <row r="108" spans="1:5">
      <c r="A108" s="4" t="s">
        <v>252</v>
      </c>
      <c r="B108" s="4" t="s">
        <v>2</v>
      </c>
      <c r="C108" s="4">
        <v>18</v>
      </c>
      <c r="D108" s="4">
        <v>5.5</v>
      </c>
      <c r="E108" s="4" t="s">
        <v>14</v>
      </c>
    </row>
    <row r="109" spans="1:5">
      <c r="A109" s="4" t="s">
        <v>246</v>
      </c>
      <c r="B109" s="4" t="s">
        <v>30</v>
      </c>
      <c r="C109" s="4">
        <v>18</v>
      </c>
      <c r="D109" s="4">
        <v>6</v>
      </c>
      <c r="E109" s="4" t="s">
        <v>16</v>
      </c>
    </row>
    <row r="110" spans="1:5">
      <c r="A110" s="4" t="s">
        <v>159</v>
      </c>
      <c r="B110" s="4" t="s">
        <v>8</v>
      </c>
      <c r="C110" s="4">
        <v>18</v>
      </c>
      <c r="D110" s="4">
        <v>6</v>
      </c>
      <c r="E110" s="4" t="s">
        <v>16</v>
      </c>
    </row>
    <row r="111" spans="1:5">
      <c r="A111" s="4" t="s">
        <v>209</v>
      </c>
      <c r="B111" s="4" t="s">
        <v>29</v>
      </c>
      <c r="C111" s="4">
        <v>17.8</v>
      </c>
      <c r="D111" s="4">
        <v>5.5</v>
      </c>
      <c r="E111" s="4" t="s">
        <v>15</v>
      </c>
    </row>
    <row r="112" spans="1:5">
      <c r="A112" s="4" t="s">
        <v>178</v>
      </c>
      <c r="B112" s="4" t="s">
        <v>11</v>
      </c>
      <c r="C112" s="4">
        <v>17.600000000000001</v>
      </c>
      <c r="D112" s="4">
        <v>4.5</v>
      </c>
      <c r="E112" s="4" t="s">
        <v>14</v>
      </c>
    </row>
    <row r="113" spans="1:5">
      <c r="A113" s="4" t="s">
        <v>113</v>
      </c>
      <c r="B113" s="4" t="s">
        <v>11</v>
      </c>
      <c r="C113" s="4">
        <v>17.600000000000001</v>
      </c>
      <c r="D113" s="4">
        <v>5.5</v>
      </c>
      <c r="E113" s="4" t="s">
        <v>15</v>
      </c>
    </row>
    <row r="114" spans="1:5">
      <c r="A114" s="4" t="s">
        <v>241</v>
      </c>
      <c r="B114" s="4" t="s">
        <v>11</v>
      </c>
      <c r="C114" s="4">
        <v>17.5</v>
      </c>
      <c r="D114" s="4">
        <v>7.5</v>
      </c>
      <c r="E114" s="4" t="s">
        <v>16</v>
      </c>
    </row>
    <row r="115" spans="1:5">
      <c r="A115" s="4" t="s">
        <v>119</v>
      </c>
      <c r="B115" s="4" t="s">
        <v>12</v>
      </c>
      <c r="C115" s="4">
        <v>17.5</v>
      </c>
      <c r="D115" s="4">
        <v>6.5</v>
      </c>
      <c r="E115" s="4" t="s">
        <v>16</v>
      </c>
    </row>
    <row r="116" spans="1:5">
      <c r="A116" s="4" t="s">
        <v>191</v>
      </c>
      <c r="B116" s="4" t="s">
        <v>3</v>
      </c>
      <c r="C116" s="4">
        <v>17.5</v>
      </c>
      <c r="D116" s="4">
        <v>6</v>
      </c>
      <c r="E116" s="4" t="s">
        <v>16</v>
      </c>
    </row>
    <row r="117" spans="1:5">
      <c r="A117" s="4" t="s">
        <v>169</v>
      </c>
      <c r="B117" s="4" t="s">
        <v>29</v>
      </c>
      <c r="C117" s="4">
        <v>17.399999999999999</v>
      </c>
      <c r="D117" s="4">
        <v>5</v>
      </c>
      <c r="E117" s="4" t="s">
        <v>15</v>
      </c>
    </row>
    <row r="118" spans="1:5">
      <c r="A118" s="4" t="s">
        <v>100</v>
      </c>
      <c r="B118" s="4" t="s">
        <v>12</v>
      </c>
      <c r="C118" s="4">
        <v>17.399999999999999</v>
      </c>
      <c r="D118" s="4">
        <v>5</v>
      </c>
      <c r="E118" s="4" t="s">
        <v>14</v>
      </c>
    </row>
    <row r="119" spans="1:5">
      <c r="A119" s="4" t="s">
        <v>185</v>
      </c>
      <c r="B119" s="4" t="s">
        <v>6</v>
      </c>
      <c r="C119" s="4">
        <v>17.3</v>
      </c>
      <c r="D119" s="4">
        <v>5.5</v>
      </c>
      <c r="E119" s="4" t="s">
        <v>16</v>
      </c>
    </row>
    <row r="120" spans="1:5">
      <c r="A120" s="4" t="s">
        <v>59</v>
      </c>
      <c r="B120" s="4" t="s">
        <v>4</v>
      </c>
      <c r="C120" s="4">
        <v>17.3</v>
      </c>
      <c r="D120" s="4">
        <v>7.5</v>
      </c>
      <c r="E120" s="4" t="s">
        <v>16</v>
      </c>
    </row>
    <row r="121" spans="1:5">
      <c r="A121" s="4" t="s">
        <v>128</v>
      </c>
      <c r="B121" s="4" t="s">
        <v>7</v>
      </c>
      <c r="C121" s="4">
        <v>17.3</v>
      </c>
      <c r="D121" s="4">
        <v>7.5</v>
      </c>
      <c r="E121" s="4" t="s">
        <v>15</v>
      </c>
    </row>
    <row r="122" spans="1:5">
      <c r="A122" s="4" t="s">
        <v>204</v>
      </c>
      <c r="B122" s="4" t="s">
        <v>5</v>
      </c>
      <c r="C122" s="4">
        <v>17.3</v>
      </c>
      <c r="D122" s="4">
        <v>8.5</v>
      </c>
      <c r="E122" s="4" t="s">
        <v>16</v>
      </c>
    </row>
    <row r="123" spans="1:5">
      <c r="A123" s="4" t="s">
        <v>168</v>
      </c>
      <c r="B123" s="4" t="s">
        <v>12</v>
      </c>
      <c r="C123" s="4">
        <v>17</v>
      </c>
      <c r="D123" s="4">
        <v>5</v>
      </c>
      <c r="E123" s="4" t="s">
        <v>14</v>
      </c>
    </row>
    <row r="124" spans="1:5">
      <c r="A124" s="4" t="s">
        <v>167</v>
      </c>
      <c r="B124" s="4" t="s">
        <v>5</v>
      </c>
      <c r="C124" s="4">
        <v>16.899999999999999</v>
      </c>
      <c r="D124" s="4">
        <v>5.5</v>
      </c>
      <c r="E124" s="4" t="s">
        <v>14</v>
      </c>
    </row>
    <row r="125" spans="1:5">
      <c r="A125" s="4" t="s">
        <v>150</v>
      </c>
      <c r="B125" s="4" t="s">
        <v>9</v>
      </c>
      <c r="C125" s="4">
        <v>16.899999999999999</v>
      </c>
      <c r="D125" s="4">
        <v>5.5</v>
      </c>
      <c r="E125" s="4" t="s">
        <v>15</v>
      </c>
    </row>
    <row r="126" spans="1:5">
      <c r="A126" s="4" t="s">
        <v>118</v>
      </c>
      <c r="B126" s="4" t="s">
        <v>2</v>
      </c>
      <c r="C126" s="4">
        <v>16.8</v>
      </c>
      <c r="D126" s="4">
        <v>6</v>
      </c>
      <c r="E126" s="4" t="s">
        <v>15</v>
      </c>
    </row>
    <row r="127" spans="1:5">
      <c r="A127" s="4" t="s">
        <v>91</v>
      </c>
      <c r="B127" s="4" t="s">
        <v>3</v>
      </c>
      <c r="C127" s="4">
        <v>16.7</v>
      </c>
      <c r="D127" s="4">
        <v>7</v>
      </c>
      <c r="E127" s="4" t="s">
        <v>16</v>
      </c>
    </row>
    <row r="128" spans="1:5">
      <c r="A128" s="4" t="s">
        <v>250</v>
      </c>
      <c r="B128" s="4" t="s">
        <v>0</v>
      </c>
      <c r="C128" s="4">
        <v>16.7</v>
      </c>
      <c r="D128" s="4">
        <v>6</v>
      </c>
      <c r="E128" s="4" t="s">
        <v>14</v>
      </c>
    </row>
    <row r="129" spans="1:12">
      <c r="A129" s="4" t="s">
        <v>105</v>
      </c>
      <c r="B129" s="4" t="s">
        <v>12</v>
      </c>
      <c r="C129" s="4">
        <v>16.7</v>
      </c>
      <c r="D129" s="4">
        <v>5.5</v>
      </c>
      <c r="E129" s="4" t="s">
        <v>15</v>
      </c>
    </row>
    <row r="130" spans="1:12">
      <c r="A130" s="4" t="s">
        <v>148</v>
      </c>
      <c r="B130" s="4" t="s">
        <v>1</v>
      </c>
      <c r="C130" s="4">
        <v>16.7</v>
      </c>
      <c r="D130" s="4">
        <v>6</v>
      </c>
      <c r="E130" s="4" t="s">
        <v>15</v>
      </c>
    </row>
    <row r="131" spans="1:12">
      <c r="A131" s="4" t="s">
        <v>93</v>
      </c>
      <c r="B131" s="4" t="s">
        <v>2</v>
      </c>
      <c r="C131" s="4">
        <v>16.7</v>
      </c>
      <c r="D131" s="4">
        <v>5.5</v>
      </c>
      <c r="E131" s="4" t="s">
        <v>14</v>
      </c>
    </row>
    <row r="132" spans="1:12">
      <c r="A132" s="4" t="s">
        <v>258</v>
      </c>
      <c r="B132" s="4" t="s">
        <v>29</v>
      </c>
      <c r="C132" s="4">
        <v>16.7</v>
      </c>
      <c r="D132" s="4">
        <v>5.5</v>
      </c>
      <c r="E132" s="4" t="s">
        <v>15</v>
      </c>
    </row>
    <row r="133" spans="1:12">
      <c r="A133" s="4" t="s">
        <v>54</v>
      </c>
      <c r="B133" s="4" t="s">
        <v>4</v>
      </c>
      <c r="C133" s="4">
        <v>16.7</v>
      </c>
      <c r="D133" s="4">
        <v>8.5</v>
      </c>
      <c r="E133" s="4" t="s">
        <v>15</v>
      </c>
    </row>
    <row r="134" spans="1:12">
      <c r="A134" s="4" t="s">
        <v>260</v>
      </c>
      <c r="B134" s="4" t="s">
        <v>8</v>
      </c>
      <c r="C134" s="4">
        <v>16.600000000000001</v>
      </c>
      <c r="D134" s="4">
        <v>5</v>
      </c>
      <c r="E134" s="4" t="s">
        <v>15</v>
      </c>
    </row>
    <row r="135" spans="1:12">
      <c r="A135" s="4" t="s">
        <v>266</v>
      </c>
      <c r="B135" s="4" t="s">
        <v>30</v>
      </c>
      <c r="C135" s="4">
        <v>16.399999999999999</v>
      </c>
      <c r="D135" s="4">
        <v>4.5</v>
      </c>
      <c r="E135" s="4" t="s">
        <v>14</v>
      </c>
    </row>
    <row r="136" spans="1:12">
      <c r="A136" s="4" t="s">
        <v>37</v>
      </c>
      <c r="B136" s="4" t="s">
        <v>4</v>
      </c>
      <c r="C136" s="4">
        <v>16.3</v>
      </c>
      <c r="D136" s="4">
        <v>9</v>
      </c>
      <c r="E136" s="4" t="s">
        <v>15</v>
      </c>
    </row>
    <row r="137" spans="1:12">
      <c r="A137" s="4" t="s">
        <v>140</v>
      </c>
      <c r="B137" s="4" t="s">
        <v>11</v>
      </c>
      <c r="C137" s="4">
        <v>16.2</v>
      </c>
      <c r="D137" s="4">
        <v>4.5</v>
      </c>
      <c r="E137" s="4" t="s">
        <v>15</v>
      </c>
      <c r="I137" s="5"/>
      <c r="J137" s="5"/>
      <c r="L137" s="5"/>
    </row>
    <row r="138" spans="1:12">
      <c r="A138" s="4" t="s">
        <v>263</v>
      </c>
      <c r="B138" s="4" t="s">
        <v>9</v>
      </c>
      <c r="C138" s="4">
        <v>16.2</v>
      </c>
      <c r="D138" s="4">
        <v>5</v>
      </c>
      <c r="E138" s="4" t="s">
        <v>15</v>
      </c>
    </row>
    <row r="139" spans="1:12">
      <c r="A139" s="4" t="s">
        <v>106</v>
      </c>
      <c r="B139" s="4" t="s">
        <v>5</v>
      </c>
      <c r="C139" s="4">
        <v>16</v>
      </c>
      <c r="D139" s="4">
        <v>5.5</v>
      </c>
      <c r="E139" s="4" t="s">
        <v>14</v>
      </c>
    </row>
    <row r="140" spans="1:12">
      <c r="A140" s="4" t="s">
        <v>253</v>
      </c>
      <c r="B140" s="4" t="s">
        <v>7</v>
      </c>
      <c r="C140" s="4">
        <v>16</v>
      </c>
      <c r="D140" s="4">
        <v>6</v>
      </c>
      <c r="E140" s="4" t="s">
        <v>13</v>
      </c>
    </row>
    <row r="141" spans="1:12">
      <c r="A141" s="4" t="s">
        <v>137</v>
      </c>
      <c r="B141" s="4" t="s">
        <v>4</v>
      </c>
      <c r="C141" s="4">
        <v>16</v>
      </c>
      <c r="D141" s="4">
        <v>6</v>
      </c>
      <c r="E141" s="4" t="s">
        <v>15</v>
      </c>
    </row>
    <row r="142" spans="1:12">
      <c r="A142" s="4" t="s">
        <v>86</v>
      </c>
      <c r="B142" s="4" t="s">
        <v>1</v>
      </c>
      <c r="C142" s="4">
        <v>16</v>
      </c>
      <c r="D142" s="4">
        <v>5.5</v>
      </c>
      <c r="E142" s="4" t="s">
        <v>14</v>
      </c>
    </row>
    <row r="143" spans="1:12">
      <c r="A143" s="4" t="s">
        <v>34</v>
      </c>
      <c r="B143" s="4" t="s">
        <v>7</v>
      </c>
      <c r="C143" s="4">
        <v>15.9</v>
      </c>
      <c r="D143" s="4">
        <v>7.5</v>
      </c>
      <c r="E143" s="4" t="s">
        <v>15</v>
      </c>
    </row>
    <row r="144" spans="1:12">
      <c r="A144" s="4" t="s">
        <v>143</v>
      </c>
      <c r="B144" s="4" t="s">
        <v>4</v>
      </c>
      <c r="C144" s="4">
        <v>15.8</v>
      </c>
      <c r="D144" s="4">
        <v>5.5</v>
      </c>
      <c r="E144" s="4" t="s">
        <v>15</v>
      </c>
    </row>
    <row r="145" spans="1:10">
      <c r="A145" s="4" t="s">
        <v>122</v>
      </c>
      <c r="B145" s="4" t="s">
        <v>1</v>
      </c>
      <c r="C145" s="4">
        <v>15.8</v>
      </c>
      <c r="D145" s="4">
        <v>6</v>
      </c>
      <c r="E145" s="4" t="s">
        <v>15</v>
      </c>
    </row>
    <row r="146" spans="1:10">
      <c r="A146" s="4" t="s">
        <v>141</v>
      </c>
      <c r="B146" s="4" t="s">
        <v>0</v>
      </c>
      <c r="C146" s="4">
        <v>15.7</v>
      </c>
      <c r="D146" s="4">
        <v>6</v>
      </c>
      <c r="E146" s="4" t="s">
        <v>14</v>
      </c>
    </row>
    <row r="147" spans="1:10">
      <c r="A147" s="4" t="s">
        <v>264</v>
      </c>
      <c r="B147" s="4" t="s">
        <v>8</v>
      </c>
      <c r="C147" s="4">
        <v>15.6</v>
      </c>
      <c r="D147" s="4">
        <v>5</v>
      </c>
      <c r="E147" s="4" t="s">
        <v>15</v>
      </c>
    </row>
    <row r="148" spans="1:10">
      <c r="A148" s="4" t="s">
        <v>217</v>
      </c>
      <c r="B148" s="4" t="s">
        <v>30</v>
      </c>
      <c r="C148" s="4">
        <v>15.5</v>
      </c>
      <c r="D148" s="4">
        <v>6</v>
      </c>
      <c r="E148" s="4" t="s">
        <v>15</v>
      </c>
    </row>
    <row r="149" spans="1:10">
      <c r="A149" s="4" t="s">
        <v>98</v>
      </c>
      <c r="B149" s="4" t="s">
        <v>0</v>
      </c>
      <c r="C149" s="4">
        <v>15.5</v>
      </c>
      <c r="D149" s="4">
        <v>6.5</v>
      </c>
      <c r="E149" s="4" t="s">
        <v>15</v>
      </c>
    </row>
    <row r="150" spans="1:10">
      <c r="A150" s="4" t="s">
        <v>116</v>
      </c>
      <c r="B150" s="4" t="s">
        <v>12</v>
      </c>
      <c r="C150" s="4">
        <v>15.4</v>
      </c>
      <c r="D150" s="4">
        <v>5</v>
      </c>
      <c r="E150" s="4" t="s">
        <v>15</v>
      </c>
    </row>
    <row r="151" spans="1:10">
      <c r="A151" s="4" t="s">
        <v>225</v>
      </c>
      <c r="B151" s="4" t="s">
        <v>30</v>
      </c>
      <c r="C151" s="4">
        <v>15.1</v>
      </c>
      <c r="D151" s="4">
        <v>4.5</v>
      </c>
      <c r="E151" s="4" t="s">
        <v>14</v>
      </c>
    </row>
    <row r="152" spans="1:10">
      <c r="A152" s="4" t="s">
        <v>101</v>
      </c>
      <c r="B152" s="4" t="s">
        <v>5</v>
      </c>
      <c r="C152" s="4">
        <v>15.1</v>
      </c>
      <c r="D152" s="4">
        <v>5.5</v>
      </c>
      <c r="E152" s="4" t="s">
        <v>15</v>
      </c>
      <c r="G152" s="5"/>
      <c r="H152" s="5"/>
      <c r="I152" s="5"/>
      <c r="J152" s="5"/>
    </row>
    <row r="153" spans="1:10">
      <c r="A153" s="4" t="s">
        <v>133</v>
      </c>
      <c r="B153" s="4" t="s">
        <v>5</v>
      </c>
      <c r="C153" s="4">
        <v>15.1</v>
      </c>
      <c r="D153" s="4">
        <v>5.5</v>
      </c>
      <c r="E153" s="4" t="s">
        <v>14</v>
      </c>
      <c r="G153" s="5"/>
      <c r="H153" s="5"/>
      <c r="I153" s="5"/>
      <c r="J153" s="5"/>
    </row>
    <row r="154" spans="1:10">
      <c r="A154" s="4" t="s">
        <v>196</v>
      </c>
      <c r="B154" s="4" t="s">
        <v>3</v>
      </c>
      <c r="C154" s="4">
        <v>15.1</v>
      </c>
      <c r="D154" s="4">
        <v>5.5</v>
      </c>
      <c r="E154" s="4" t="s">
        <v>15</v>
      </c>
      <c r="G154" s="5"/>
      <c r="H154" s="5"/>
      <c r="I154" s="5"/>
      <c r="J154" s="5"/>
    </row>
    <row r="155" spans="1:10">
      <c r="A155" s="4" t="s">
        <v>226</v>
      </c>
      <c r="B155" s="4" t="s">
        <v>30</v>
      </c>
      <c r="C155" s="4">
        <v>15</v>
      </c>
      <c r="D155" s="4">
        <v>5</v>
      </c>
      <c r="E155" s="4" t="s">
        <v>15</v>
      </c>
      <c r="G155" s="5"/>
      <c r="H155" s="5"/>
      <c r="I155" s="5"/>
      <c r="J155" s="5"/>
    </row>
    <row r="156" spans="1:10">
      <c r="A156" s="4" t="s">
        <v>107</v>
      </c>
      <c r="B156" s="4" t="s">
        <v>8</v>
      </c>
      <c r="C156" s="4">
        <v>15</v>
      </c>
      <c r="D156" s="4">
        <v>5</v>
      </c>
      <c r="E156" s="4" t="s">
        <v>14</v>
      </c>
      <c r="G156" s="5"/>
      <c r="H156" s="5"/>
      <c r="I156" s="5"/>
      <c r="J156" s="5"/>
    </row>
    <row r="157" spans="1:10">
      <c r="A157" s="4" t="s">
        <v>45</v>
      </c>
      <c r="B157" s="4" t="s">
        <v>10</v>
      </c>
      <c r="C157" s="4">
        <v>15</v>
      </c>
      <c r="D157" s="4">
        <v>5</v>
      </c>
      <c r="E157" s="4" t="s">
        <v>13</v>
      </c>
      <c r="G157" s="5"/>
      <c r="H157" s="5"/>
      <c r="I157" s="5"/>
      <c r="J157" s="5"/>
    </row>
    <row r="158" spans="1:10">
      <c r="A158" s="4" t="s">
        <v>146</v>
      </c>
      <c r="B158" s="4" t="s">
        <v>25</v>
      </c>
      <c r="C158" s="4">
        <v>14.9</v>
      </c>
      <c r="D158" s="4">
        <v>4.5</v>
      </c>
      <c r="E158" s="4" t="s">
        <v>15</v>
      </c>
      <c r="G158" s="5"/>
      <c r="H158" s="5"/>
      <c r="I158" s="5"/>
      <c r="J158" s="5"/>
    </row>
    <row r="159" spans="1:10">
      <c r="A159" s="4" t="s">
        <v>271</v>
      </c>
      <c r="B159" s="4" t="s">
        <v>30</v>
      </c>
      <c r="C159" s="4">
        <v>14.9</v>
      </c>
      <c r="D159" s="4">
        <v>4.5</v>
      </c>
      <c r="E159" s="4" t="s">
        <v>15</v>
      </c>
      <c r="G159" s="5"/>
      <c r="H159" s="5"/>
      <c r="I159" s="5"/>
      <c r="J159" s="5"/>
    </row>
    <row r="160" spans="1:10">
      <c r="A160" s="4" t="s">
        <v>261</v>
      </c>
      <c r="B160" s="4" t="s">
        <v>4</v>
      </c>
      <c r="C160" s="4">
        <v>14.9</v>
      </c>
      <c r="D160" s="4">
        <v>5.5</v>
      </c>
      <c r="E160" s="4" t="s">
        <v>14</v>
      </c>
      <c r="G160" s="5"/>
      <c r="H160" s="5"/>
      <c r="I160" s="5"/>
      <c r="J160" s="5"/>
    </row>
    <row r="161" spans="1:10">
      <c r="A161" s="4" t="s">
        <v>262</v>
      </c>
      <c r="B161" s="4" t="s">
        <v>1</v>
      </c>
      <c r="C161" s="4">
        <v>14.9</v>
      </c>
      <c r="D161" s="4">
        <v>5.5</v>
      </c>
      <c r="E161" s="4" t="s">
        <v>15</v>
      </c>
      <c r="G161" s="5"/>
      <c r="H161" s="5"/>
      <c r="I161" s="5"/>
      <c r="J161" s="5"/>
    </row>
    <row r="162" spans="1:10">
      <c r="A162" s="4" t="s">
        <v>265</v>
      </c>
      <c r="B162" s="4" t="s">
        <v>6</v>
      </c>
      <c r="C162" s="4">
        <v>14.8</v>
      </c>
      <c r="D162" s="4">
        <v>5</v>
      </c>
      <c r="E162" s="4" t="s">
        <v>14</v>
      </c>
      <c r="G162" s="5"/>
      <c r="H162" s="5"/>
      <c r="I162" s="5"/>
      <c r="J162" s="5"/>
    </row>
    <row r="163" spans="1:10">
      <c r="A163" s="4" t="s">
        <v>123</v>
      </c>
      <c r="B163" s="4" t="s">
        <v>0</v>
      </c>
      <c r="C163" s="4">
        <v>14.8</v>
      </c>
      <c r="D163" s="4">
        <v>9</v>
      </c>
      <c r="E163" s="4" t="s">
        <v>16</v>
      </c>
      <c r="G163" s="5"/>
      <c r="H163" s="5"/>
      <c r="I163" s="5"/>
      <c r="J163" s="5"/>
    </row>
    <row r="164" spans="1:10">
      <c r="A164" s="4" t="s">
        <v>259</v>
      </c>
      <c r="B164" s="4" t="s">
        <v>30</v>
      </c>
      <c r="C164" s="4">
        <v>14.7</v>
      </c>
      <c r="D164" s="4">
        <v>6</v>
      </c>
      <c r="E164" s="4" t="s">
        <v>15</v>
      </c>
      <c r="G164" s="5"/>
      <c r="H164" s="5"/>
      <c r="I164" s="5"/>
      <c r="J164" s="5"/>
    </row>
    <row r="165" spans="1:10">
      <c r="A165" s="4" t="s">
        <v>272</v>
      </c>
      <c r="B165" s="4" t="s">
        <v>30</v>
      </c>
      <c r="C165" s="4">
        <v>14.7</v>
      </c>
      <c r="D165" s="4">
        <v>4.5</v>
      </c>
      <c r="E165" s="4" t="s">
        <v>14</v>
      </c>
      <c r="G165" s="5"/>
      <c r="H165" s="5"/>
      <c r="I165" s="5"/>
      <c r="J165" s="5"/>
    </row>
    <row r="166" spans="1:10">
      <c r="A166" s="4" t="s">
        <v>124</v>
      </c>
      <c r="B166" s="4" t="s">
        <v>7</v>
      </c>
      <c r="C166" s="4">
        <v>14.6</v>
      </c>
      <c r="D166" s="4">
        <v>8.5</v>
      </c>
      <c r="E166" s="4" t="s">
        <v>16</v>
      </c>
      <c r="G166" s="5"/>
      <c r="H166" s="5"/>
      <c r="I166" s="5"/>
      <c r="J166" s="5"/>
    </row>
    <row r="167" spans="1:10">
      <c r="A167" s="4" t="s">
        <v>67</v>
      </c>
      <c r="B167" s="4" t="s">
        <v>10</v>
      </c>
      <c r="C167" s="4">
        <v>14.5</v>
      </c>
      <c r="D167" s="4">
        <v>6.5</v>
      </c>
      <c r="E167" s="4" t="s">
        <v>15</v>
      </c>
      <c r="G167" s="5"/>
      <c r="H167" s="5"/>
      <c r="I167" s="5"/>
      <c r="J167" s="5"/>
    </row>
    <row r="168" spans="1:10">
      <c r="A168" s="4" t="s">
        <v>129</v>
      </c>
      <c r="B168" s="4" t="s">
        <v>235</v>
      </c>
      <c r="C168" s="4">
        <v>14.4</v>
      </c>
      <c r="D168" s="4">
        <v>4.5</v>
      </c>
      <c r="E168" s="4" t="s">
        <v>14</v>
      </c>
      <c r="G168" s="5"/>
      <c r="H168" s="5"/>
      <c r="I168" s="5"/>
      <c r="J168" s="5"/>
    </row>
    <row r="169" spans="1:10">
      <c r="A169" s="4" t="s">
        <v>57</v>
      </c>
      <c r="B169" s="4" t="s">
        <v>235</v>
      </c>
      <c r="C169" s="4">
        <v>14.4</v>
      </c>
      <c r="D169" s="4">
        <v>5.5</v>
      </c>
      <c r="E169" s="4" t="s">
        <v>16</v>
      </c>
      <c r="G169" s="5"/>
      <c r="H169" s="5"/>
      <c r="I169" s="5"/>
      <c r="J169" s="5"/>
    </row>
    <row r="170" spans="1:10">
      <c r="A170" s="4" t="s">
        <v>111</v>
      </c>
      <c r="B170" s="4" t="s">
        <v>9</v>
      </c>
      <c r="C170" s="4">
        <v>14.2</v>
      </c>
      <c r="D170" s="4">
        <v>6</v>
      </c>
      <c r="E170" s="4" t="s">
        <v>15</v>
      </c>
      <c r="G170" s="5"/>
      <c r="H170" s="5"/>
      <c r="I170" s="5"/>
      <c r="J170" s="5"/>
    </row>
    <row r="171" spans="1:10">
      <c r="A171" s="4" t="s">
        <v>267</v>
      </c>
      <c r="B171" s="4" t="s">
        <v>25</v>
      </c>
      <c r="C171" s="4">
        <v>14.2</v>
      </c>
      <c r="D171" s="4">
        <v>5</v>
      </c>
      <c r="E171" s="4" t="s">
        <v>14</v>
      </c>
      <c r="G171" s="5"/>
      <c r="H171" s="5"/>
      <c r="I171" s="5"/>
      <c r="J171" s="5"/>
    </row>
    <row r="172" spans="1:10">
      <c r="A172" s="4" t="s">
        <v>136</v>
      </c>
      <c r="B172" s="4" t="s">
        <v>7</v>
      </c>
      <c r="C172" s="4">
        <v>14.2</v>
      </c>
      <c r="D172" s="4">
        <v>5.5</v>
      </c>
      <c r="E172" s="4" t="s">
        <v>15</v>
      </c>
      <c r="G172" s="5"/>
      <c r="H172" s="5"/>
      <c r="I172" s="5"/>
      <c r="J172" s="5"/>
    </row>
    <row r="173" spans="1:10">
      <c r="A173" s="4" t="s">
        <v>219</v>
      </c>
      <c r="B173" s="4" t="s">
        <v>5</v>
      </c>
      <c r="C173" s="4">
        <v>14.2</v>
      </c>
      <c r="D173" s="4">
        <v>8.5</v>
      </c>
      <c r="E173" s="4" t="s">
        <v>16</v>
      </c>
      <c r="G173" s="5"/>
      <c r="H173" s="5"/>
      <c r="I173" s="5"/>
      <c r="J173" s="5"/>
    </row>
    <row r="174" spans="1:10">
      <c r="A174" s="4" t="s">
        <v>268</v>
      </c>
      <c r="B174" s="4" t="s">
        <v>6</v>
      </c>
      <c r="C174" s="4">
        <v>14.2</v>
      </c>
      <c r="D174" s="4">
        <v>5</v>
      </c>
      <c r="E174" s="4" t="s">
        <v>16</v>
      </c>
      <c r="G174" s="5"/>
      <c r="H174" s="5"/>
      <c r="I174" s="5"/>
      <c r="J174" s="5"/>
    </row>
    <row r="175" spans="1:10">
      <c r="A175" s="4" t="s">
        <v>164</v>
      </c>
      <c r="B175" s="4" t="s">
        <v>10</v>
      </c>
      <c r="C175" s="4">
        <v>14.2</v>
      </c>
      <c r="D175" s="4">
        <v>5</v>
      </c>
      <c r="E175" s="4" t="s">
        <v>14</v>
      </c>
      <c r="G175" s="5"/>
      <c r="H175" s="5"/>
      <c r="I175" s="5"/>
      <c r="J175" s="5"/>
    </row>
    <row r="176" spans="1:10">
      <c r="A176" s="4" t="s">
        <v>274</v>
      </c>
      <c r="B176" s="4" t="s">
        <v>30</v>
      </c>
      <c r="C176" s="4">
        <v>14</v>
      </c>
      <c r="D176" s="4">
        <v>4.5</v>
      </c>
      <c r="E176" s="4" t="s">
        <v>13</v>
      </c>
      <c r="G176" s="5"/>
      <c r="H176" s="5"/>
      <c r="I176" s="5"/>
      <c r="J176" s="5"/>
    </row>
    <row r="177" spans="1:10">
      <c r="A177" s="4" t="s">
        <v>186</v>
      </c>
      <c r="B177" s="4" t="s">
        <v>3</v>
      </c>
      <c r="C177" s="4">
        <v>14</v>
      </c>
      <c r="D177" s="4">
        <v>4.5</v>
      </c>
      <c r="E177" s="4" t="s">
        <v>14</v>
      </c>
      <c r="G177" s="5"/>
      <c r="H177" s="5"/>
      <c r="I177" s="5"/>
      <c r="J177" s="5"/>
    </row>
    <row r="178" spans="1:10">
      <c r="A178" s="4" t="s">
        <v>222</v>
      </c>
      <c r="B178" s="4" t="s">
        <v>7</v>
      </c>
      <c r="C178" s="4">
        <v>14</v>
      </c>
      <c r="D178" s="4">
        <v>5</v>
      </c>
      <c r="E178" s="4" t="s">
        <v>14</v>
      </c>
      <c r="G178" s="5"/>
      <c r="H178" s="5"/>
      <c r="I178" s="5"/>
      <c r="J178" s="5"/>
    </row>
    <row r="179" spans="1:10">
      <c r="A179" s="4" t="s">
        <v>270</v>
      </c>
      <c r="B179" s="4" t="s">
        <v>24</v>
      </c>
      <c r="C179" s="4">
        <v>14</v>
      </c>
      <c r="D179" s="4">
        <v>5</v>
      </c>
      <c r="E179" s="4" t="s">
        <v>15</v>
      </c>
      <c r="G179" s="5"/>
      <c r="H179" s="5"/>
      <c r="I179" s="5"/>
      <c r="J179" s="5"/>
    </row>
    <row r="180" spans="1:10">
      <c r="A180" s="4" t="s">
        <v>48</v>
      </c>
      <c r="B180" s="4" t="s">
        <v>4</v>
      </c>
      <c r="C180" s="4">
        <v>14</v>
      </c>
      <c r="D180" s="4">
        <v>6.5</v>
      </c>
      <c r="E180" s="4" t="s">
        <v>14</v>
      </c>
      <c r="G180" s="5"/>
      <c r="H180" s="5"/>
      <c r="I180" s="5"/>
      <c r="J180" s="5"/>
    </row>
    <row r="181" spans="1:10">
      <c r="A181" s="4" t="s">
        <v>65</v>
      </c>
      <c r="B181" s="4" t="s">
        <v>4</v>
      </c>
      <c r="C181" s="4">
        <v>14</v>
      </c>
      <c r="D181" s="4">
        <v>5.5</v>
      </c>
      <c r="E181" s="4" t="s">
        <v>14</v>
      </c>
      <c r="G181" s="5"/>
      <c r="H181" s="5"/>
      <c r="I181" s="5"/>
      <c r="J181" s="5"/>
    </row>
    <row r="182" spans="1:10">
      <c r="A182" s="4" t="s">
        <v>83</v>
      </c>
      <c r="B182" s="4" t="s">
        <v>10</v>
      </c>
      <c r="C182" s="4">
        <v>13.8</v>
      </c>
      <c r="D182" s="4">
        <v>5.5</v>
      </c>
      <c r="E182" s="4" t="s">
        <v>15</v>
      </c>
    </row>
    <row r="183" spans="1:10">
      <c r="A183" s="4" t="s">
        <v>220</v>
      </c>
      <c r="B183" s="4" t="s">
        <v>0</v>
      </c>
      <c r="C183" s="4">
        <v>13.8</v>
      </c>
      <c r="D183" s="4">
        <v>8.5</v>
      </c>
      <c r="E183" s="4" t="s">
        <v>15</v>
      </c>
    </row>
    <row r="184" spans="1:10">
      <c r="A184" s="4" t="s">
        <v>32</v>
      </c>
      <c r="B184" s="4" t="s">
        <v>2</v>
      </c>
      <c r="C184" s="4">
        <v>13.6</v>
      </c>
      <c r="D184" s="4">
        <v>10.5</v>
      </c>
      <c r="E184" s="4" t="s">
        <v>16</v>
      </c>
    </row>
    <row r="185" spans="1:10">
      <c r="A185" s="4" t="s">
        <v>117</v>
      </c>
      <c r="B185" s="4" t="s">
        <v>24</v>
      </c>
      <c r="C185" s="4">
        <v>13.4</v>
      </c>
      <c r="D185" s="4">
        <v>5</v>
      </c>
      <c r="E185" s="4" t="s">
        <v>13</v>
      </c>
    </row>
    <row r="186" spans="1:10">
      <c r="A186" s="4" t="s">
        <v>279</v>
      </c>
      <c r="B186" s="4" t="s">
        <v>24</v>
      </c>
      <c r="C186" s="4">
        <v>13.3</v>
      </c>
      <c r="D186" s="4">
        <v>4.5</v>
      </c>
      <c r="E186" s="4" t="s">
        <v>13</v>
      </c>
    </row>
    <row r="187" spans="1:10">
      <c r="A187" s="4" t="s">
        <v>103</v>
      </c>
      <c r="B187" s="4" t="s">
        <v>10</v>
      </c>
      <c r="C187" s="4">
        <v>13.3</v>
      </c>
      <c r="D187" s="4">
        <v>8.5</v>
      </c>
      <c r="E187" s="4" t="s">
        <v>16</v>
      </c>
    </row>
    <row r="188" spans="1:10">
      <c r="A188" s="4" t="s">
        <v>127</v>
      </c>
      <c r="B188" s="4" t="s">
        <v>7</v>
      </c>
      <c r="C188" s="4">
        <v>13.2</v>
      </c>
      <c r="D188" s="4">
        <v>5</v>
      </c>
      <c r="E188" s="4" t="s">
        <v>14</v>
      </c>
    </row>
    <row r="189" spans="1:10">
      <c r="A189" s="4" t="s">
        <v>161</v>
      </c>
      <c r="B189" s="4" t="s">
        <v>6</v>
      </c>
      <c r="C189" s="4">
        <v>13.2</v>
      </c>
      <c r="D189" s="4">
        <v>7.5</v>
      </c>
      <c r="E189" s="4" t="s">
        <v>16</v>
      </c>
    </row>
    <row r="190" spans="1:10">
      <c r="A190" s="4" t="s">
        <v>165</v>
      </c>
      <c r="B190" s="4" t="s">
        <v>8</v>
      </c>
      <c r="C190" s="4">
        <v>12.9</v>
      </c>
      <c r="D190" s="4">
        <v>5.5</v>
      </c>
      <c r="E190" s="4" t="s">
        <v>16</v>
      </c>
    </row>
    <row r="191" spans="1:10">
      <c r="A191" s="4" t="s">
        <v>282</v>
      </c>
      <c r="B191" s="4" t="s">
        <v>24</v>
      </c>
      <c r="C191" s="4">
        <v>12.9</v>
      </c>
      <c r="D191" s="4">
        <v>4.5</v>
      </c>
      <c r="E191" s="4" t="s">
        <v>15</v>
      </c>
    </row>
    <row r="192" spans="1:10">
      <c r="A192" s="4" t="s">
        <v>283</v>
      </c>
      <c r="B192" s="4" t="s">
        <v>3</v>
      </c>
      <c r="C192" s="4">
        <v>12.9</v>
      </c>
      <c r="D192" s="4">
        <v>4.5</v>
      </c>
      <c r="E192" s="4" t="s">
        <v>14</v>
      </c>
    </row>
    <row r="193" spans="1:5">
      <c r="A193" s="4" t="s">
        <v>284</v>
      </c>
      <c r="B193" s="4" t="s">
        <v>12</v>
      </c>
      <c r="C193" s="4">
        <v>12.9</v>
      </c>
      <c r="D193" s="4">
        <v>4.5</v>
      </c>
      <c r="E193" s="4" t="s">
        <v>15</v>
      </c>
    </row>
    <row r="194" spans="1:5">
      <c r="A194" s="4" t="s">
        <v>255</v>
      </c>
      <c r="B194" s="4" t="s">
        <v>6</v>
      </c>
      <c r="C194" s="4">
        <v>12.8</v>
      </c>
      <c r="D194" s="4">
        <v>7.5</v>
      </c>
      <c r="E194" s="4" t="s">
        <v>15</v>
      </c>
    </row>
    <row r="195" spans="1:5">
      <c r="A195" s="4" t="s">
        <v>64</v>
      </c>
      <c r="B195" s="4" t="s">
        <v>5</v>
      </c>
      <c r="C195" s="4">
        <v>12.7</v>
      </c>
      <c r="D195" s="4">
        <v>5.5</v>
      </c>
      <c r="E195" s="4" t="s">
        <v>14</v>
      </c>
    </row>
    <row r="196" spans="1:5">
      <c r="A196" s="4" t="s">
        <v>275</v>
      </c>
      <c r="B196" s="4" t="s">
        <v>3</v>
      </c>
      <c r="C196" s="4">
        <v>12.6</v>
      </c>
      <c r="D196" s="4">
        <v>5</v>
      </c>
      <c r="E196" s="4" t="s">
        <v>15</v>
      </c>
    </row>
    <row r="197" spans="1:5">
      <c r="A197" s="4" t="s">
        <v>142</v>
      </c>
      <c r="B197" s="4" t="s">
        <v>29</v>
      </c>
      <c r="C197" s="4">
        <v>12.5</v>
      </c>
      <c r="D197" s="4">
        <v>7.5</v>
      </c>
      <c r="E197" s="4" t="s">
        <v>16</v>
      </c>
    </row>
    <row r="198" spans="1:5">
      <c r="A198" s="4" t="s">
        <v>276</v>
      </c>
      <c r="B198" s="4" t="s">
        <v>25</v>
      </c>
      <c r="C198" s="4">
        <v>12.4</v>
      </c>
      <c r="D198" s="4">
        <v>5</v>
      </c>
      <c r="E198" s="4" t="s">
        <v>15</v>
      </c>
    </row>
    <row r="199" spans="1:5">
      <c r="A199" s="4" t="s">
        <v>277</v>
      </c>
      <c r="B199" s="4" t="s">
        <v>10</v>
      </c>
      <c r="C199" s="4">
        <v>12.4</v>
      </c>
      <c r="D199" s="4">
        <v>5</v>
      </c>
      <c r="E199" s="4" t="s">
        <v>15</v>
      </c>
    </row>
    <row r="200" spans="1:5">
      <c r="A200" s="4" t="s">
        <v>278</v>
      </c>
      <c r="B200" s="4" t="s">
        <v>7</v>
      </c>
      <c r="C200" s="4">
        <v>12.4</v>
      </c>
      <c r="D200" s="4">
        <v>5</v>
      </c>
      <c r="E200" s="4" t="s">
        <v>15</v>
      </c>
    </row>
    <row r="201" spans="1:5">
      <c r="A201" s="4" t="s">
        <v>211</v>
      </c>
      <c r="B201" s="4" t="s">
        <v>29</v>
      </c>
      <c r="C201" s="4">
        <v>12.4</v>
      </c>
      <c r="D201" s="4">
        <v>5.5</v>
      </c>
      <c r="E201" s="4" t="s">
        <v>16</v>
      </c>
    </row>
    <row r="202" spans="1:5">
      <c r="A202" s="4" t="s">
        <v>99</v>
      </c>
      <c r="B202" s="4" t="s">
        <v>2</v>
      </c>
      <c r="C202" s="4">
        <v>12.3</v>
      </c>
      <c r="D202" s="4">
        <v>7.5</v>
      </c>
      <c r="E202" s="4" t="s">
        <v>16</v>
      </c>
    </row>
    <row r="203" spans="1:5">
      <c r="A203" s="4" t="s">
        <v>174</v>
      </c>
      <c r="B203" s="4" t="s">
        <v>3</v>
      </c>
      <c r="C203" s="4">
        <v>12.2</v>
      </c>
      <c r="D203" s="4">
        <v>5</v>
      </c>
      <c r="E203" s="4" t="s">
        <v>15</v>
      </c>
    </row>
    <row r="204" spans="1:5">
      <c r="A204" s="4" t="s">
        <v>152</v>
      </c>
      <c r="B204" s="4" t="s">
        <v>12</v>
      </c>
      <c r="C204" s="4">
        <v>12.2</v>
      </c>
      <c r="D204" s="4">
        <v>5</v>
      </c>
      <c r="E204" s="4" t="s">
        <v>15</v>
      </c>
    </row>
    <row r="205" spans="1:5">
      <c r="A205" s="4" t="s">
        <v>95</v>
      </c>
      <c r="B205" s="4" t="s">
        <v>12</v>
      </c>
      <c r="C205" s="4">
        <v>12.2</v>
      </c>
      <c r="D205" s="4">
        <v>5</v>
      </c>
      <c r="E205" s="4" t="s">
        <v>14</v>
      </c>
    </row>
    <row r="206" spans="1:5">
      <c r="A206" s="4" t="s">
        <v>218</v>
      </c>
      <c r="B206" s="4" t="s">
        <v>1</v>
      </c>
      <c r="C206" s="4">
        <v>12.2</v>
      </c>
      <c r="D206" s="4">
        <v>4.5</v>
      </c>
      <c r="E206" s="4" t="s">
        <v>15</v>
      </c>
    </row>
    <row r="207" spans="1:5">
      <c r="A207" s="4" t="s">
        <v>90</v>
      </c>
      <c r="B207" s="4" t="s">
        <v>29</v>
      </c>
      <c r="C207" s="4">
        <v>12.2</v>
      </c>
      <c r="D207" s="4">
        <v>5</v>
      </c>
      <c r="E207" s="4" t="s">
        <v>15</v>
      </c>
    </row>
    <row r="208" spans="1:5">
      <c r="A208" s="4" t="s">
        <v>213</v>
      </c>
      <c r="B208" s="4" t="s">
        <v>2</v>
      </c>
      <c r="C208" s="4">
        <v>12.2</v>
      </c>
      <c r="D208" s="4">
        <v>6</v>
      </c>
      <c r="E208" s="4" t="s">
        <v>14</v>
      </c>
    </row>
    <row r="209" spans="1:5">
      <c r="A209" s="4" t="s">
        <v>85</v>
      </c>
      <c r="B209" s="4" t="s">
        <v>12</v>
      </c>
      <c r="C209" s="4">
        <v>12</v>
      </c>
      <c r="D209" s="4">
        <v>6</v>
      </c>
      <c r="E209" s="4" t="s">
        <v>16</v>
      </c>
    </row>
    <row r="210" spans="1:5">
      <c r="A210" s="4" t="s">
        <v>130</v>
      </c>
      <c r="B210" s="4" t="s">
        <v>2</v>
      </c>
      <c r="C210" s="4">
        <v>11.8</v>
      </c>
      <c r="D210" s="4">
        <v>5.5</v>
      </c>
      <c r="E210" s="4" t="s">
        <v>15</v>
      </c>
    </row>
    <row r="211" spans="1:5">
      <c r="A211" s="4" t="s">
        <v>95</v>
      </c>
      <c r="B211" s="4" t="s">
        <v>9</v>
      </c>
      <c r="C211" s="4">
        <v>11.8</v>
      </c>
      <c r="D211" s="4">
        <v>5</v>
      </c>
      <c r="E211" s="4" t="s">
        <v>16</v>
      </c>
    </row>
    <row r="212" spans="1:5">
      <c r="A212" s="4" t="s">
        <v>224</v>
      </c>
      <c r="B212" s="4" t="s">
        <v>2</v>
      </c>
      <c r="C212" s="4">
        <v>11.7</v>
      </c>
      <c r="D212" s="4">
        <v>6</v>
      </c>
      <c r="E212" s="4" t="s">
        <v>15</v>
      </c>
    </row>
    <row r="213" spans="1:5">
      <c r="A213" s="4" t="s">
        <v>273</v>
      </c>
      <c r="B213" s="4" t="s">
        <v>9</v>
      </c>
      <c r="C213" s="4">
        <v>11.6</v>
      </c>
      <c r="D213" s="4">
        <v>5.5</v>
      </c>
      <c r="E213" s="4" t="s">
        <v>15</v>
      </c>
    </row>
    <row r="214" spans="1:5">
      <c r="A214" s="4" t="s">
        <v>51</v>
      </c>
      <c r="B214" s="4" t="s">
        <v>2</v>
      </c>
      <c r="C214" s="4">
        <v>11.5</v>
      </c>
      <c r="D214" s="4">
        <v>7.5</v>
      </c>
      <c r="E214" s="4" t="s">
        <v>15</v>
      </c>
    </row>
    <row r="215" spans="1:5">
      <c r="A215" s="4" t="s">
        <v>134</v>
      </c>
      <c r="B215" s="4" t="s">
        <v>5</v>
      </c>
      <c r="C215" s="4">
        <v>11.4</v>
      </c>
      <c r="D215" s="4">
        <v>6.5</v>
      </c>
      <c r="E215" s="4" t="s">
        <v>15</v>
      </c>
    </row>
    <row r="216" spans="1:5">
      <c r="A216" s="4" t="s">
        <v>231</v>
      </c>
      <c r="B216" s="4" t="s">
        <v>6</v>
      </c>
      <c r="C216" s="4">
        <v>11.4</v>
      </c>
      <c r="D216" s="4">
        <v>5</v>
      </c>
      <c r="E216" s="4" t="s">
        <v>15</v>
      </c>
    </row>
    <row r="217" spans="1:5">
      <c r="A217" s="4" t="s">
        <v>285</v>
      </c>
      <c r="B217" s="4" t="s">
        <v>5</v>
      </c>
      <c r="C217" s="4">
        <v>11.3</v>
      </c>
      <c r="D217" s="4">
        <v>4.5</v>
      </c>
      <c r="E217" s="4" t="s">
        <v>14</v>
      </c>
    </row>
    <row r="218" spans="1:5">
      <c r="A218" s="4" t="s">
        <v>229</v>
      </c>
      <c r="B218" s="4" t="s">
        <v>25</v>
      </c>
      <c r="C218" s="4">
        <v>11.3</v>
      </c>
      <c r="D218" s="4">
        <v>4.5</v>
      </c>
      <c r="E218" s="4" t="s">
        <v>13</v>
      </c>
    </row>
    <row r="219" spans="1:5">
      <c r="A219" s="4" t="s">
        <v>307</v>
      </c>
      <c r="B219" s="4" t="s">
        <v>4</v>
      </c>
      <c r="C219" s="4">
        <v>11.2</v>
      </c>
      <c r="D219" s="4">
        <v>5</v>
      </c>
      <c r="E219" s="4" t="s">
        <v>15</v>
      </c>
    </row>
    <row r="220" spans="1:5">
      <c r="A220" s="4" t="s">
        <v>177</v>
      </c>
      <c r="B220" s="4" t="s">
        <v>8</v>
      </c>
      <c r="C220" s="4">
        <v>11.1</v>
      </c>
      <c r="D220" s="4">
        <v>4.5</v>
      </c>
      <c r="E220" s="4" t="s">
        <v>14</v>
      </c>
    </row>
    <row r="221" spans="1:5">
      <c r="A221" s="4" t="s">
        <v>33</v>
      </c>
      <c r="B221" s="4" t="s">
        <v>4</v>
      </c>
      <c r="C221" s="4">
        <v>11</v>
      </c>
      <c r="D221" s="4">
        <v>11</v>
      </c>
      <c r="E221" s="4" t="s">
        <v>16</v>
      </c>
    </row>
    <row r="222" spans="1:5">
      <c r="A222" s="4" t="s">
        <v>182</v>
      </c>
      <c r="B222" s="4" t="s">
        <v>9</v>
      </c>
      <c r="C222" s="4">
        <v>11</v>
      </c>
      <c r="D222" s="4">
        <v>5</v>
      </c>
      <c r="E222" s="4" t="s">
        <v>16</v>
      </c>
    </row>
    <row r="223" spans="1:5">
      <c r="A223" s="4" t="s">
        <v>109</v>
      </c>
      <c r="B223" s="4" t="s">
        <v>7</v>
      </c>
      <c r="C223" s="4">
        <v>11</v>
      </c>
      <c r="D223" s="4">
        <v>7</v>
      </c>
      <c r="E223" s="4" t="s">
        <v>15</v>
      </c>
    </row>
    <row r="224" spans="1:5">
      <c r="A224" s="4" t="s">
        <v>70</v>
      </c>
      <c r="B224" s="4" t="s">
        <v>1</v>
      </c>
      <c r="C224" s="4">
        <v>11</v>
      </c>
      <c r="D224" s="4">
        <v>9</v>
      </c>
      <c r="E224" s="4" t="s">
        <v>16</v>
      </c>
    </row>
    <row r="225" spans="1:5">
      <c r="A225" s="4" t="s">
        <v>55</v>
      </c>
      <c r="B225" s="4" t="s">
        <v>0</v>
      </c>
      <c r="C225" s="4">
        <v>11</v>
      </c>
      <c r="D225" s="4">
        <v>6</v>
      </c>
      <c r="E225" s="4" t="s">
        <v>14</v>
      </c>
    </row>
    <row r="226" spans="1:5">
      <c r="A226" s="4" t="s">
        <v>308</v>
      </c>
      <c r="B226" s="4" t="s">
        <v>10</v>
      </c>
      <c r="C226" s="4">
        <v>10.9</v>
      </c>
      <c r="D226" s="4">
        <v>4.5</v>
      </c>
      <c r="E226" s="4" t="s">
        <v>15</v>
      </c>
    </row>
    <row r="227" spans="1:5">
      <c r="A227" s="4" t="s">
        <v>203</v>
      </c>
      <c r="B227" s="4" t="s">
        <v>2</v>
      </c>
      <c r="C227" s="4">
        <v>10.9</v>
      </c>
      <c r="D227" s="4">
        <v>8</v>
      </c>
      <c r="E227" s="4" t="s">
        <v>15</v>
      </c>
    </row>
    <row r="228" spans="1:5">
      <c r="A228" s="4" t="s">
        <v>63</v>
      </c>
      <c r="B228" s="4" t="s">
        <v>4</v>
      </c>
      <c r="C228" s="4">
        <v>10.8</v>
      </c>
      <c r="D228" s="4">
        <v>8</v>
      </c>
      <c r="E228" s="4" t="s">
        <v>15</v>
      </c>
    </row>
    <row r="229" spans="1:5">
      <c r="A229" s="4" t="s">
        <v>125</v>
      </c>
      <c r="B229" s="4" t="s">
        <v>3</v>
      </c>
      <c r="C229" s="4">
        <v>10.8</v>
      </c>
      <c r="D229" s="4">
        <v>6</v>
      </c>
      <c r="E229" s="4" t="s">
        <v>15</v>
      </c>
    </row>
    <row r="230" spans="1:5">
      <c r="A230" s="4" t="s">
        <v>179</v>
      </c>
      <c r="B230" s="4" t="s">
        <v>7</v>
      </c>
      <c r="C230" s="4">
        <v>10.7</v>
      </c>
      <c r="D230" s="4">
        <v>4.5</v>
      </c>
      <c r="E230" s="4" t="s">
        <v>14</v>
      </c>
    </row>
    <row r="231" spans="1:5">
      <c r="A231" s="4" t="s">
        <v>291</v>
      </c>
      <c r="B231" s="4" t="s">
        <v>3</v>
      </c>
      <c r="C231" s="4">
        <v>10.5</v>
      </c>
      <c r="D231" s="4">
        <v>4</v>
      </c>
      <c r="E231" s="4" t="s">
        <v>14</v>
      </c>
    </row>
    <row r="232" spans="1:5">
      <c r="A232" s="4" t="s">
        <v>281</v>
      </c>
      <c r="B232" s="4" t="s">
        <v>7</v>
      </c>
      <c r="C232" s="4">
        <v>10.5</v>
      </c>
      <c r="D232" s="4">
        <v>5.5</v>
      </c>
      <c r="E232" s="4" t="s">
        <v>15</v>
      </c>
    </row>
    <row r="233" spans="1:5">
      <c r="A233" s="4" t="s">
        <v>80</v>
      </c>
      <c r="B233" s="4" t="s">
        <v>1</v>
      </c>
      <c r="C233" s="4">
        <v>10.4</v>
      </c>
      <c r="D233" s="4">
        <v>5</v>
      </c>
      <c r="E233" s="4" t="s">
        <v>15</v>
      </c>
    </row>
    <row r="234" spans="1:5">
      <c r="A234" s="4" t="s">
        <v>173</v>
      </c>
      <c r="B234" s="4" t="s">
        <v>8</v>
      </c>
      <c r="C234" s="4">
        <v>10.4</v>
      </c>
      <c r="D234" s="4">
        <v>4.5</v>
      </c>
      <c r="E234" s="4" t="s">
        <v>14</v>
      </c>
    </row>
    <row r="235" spans="1:5">
      <c r="A235" s="4" t="s">
        <v>188</v>
      </c>
      <c r="B235" s="4" t="s">
        <v>9</v>
      </c>
      <c r="C235" s="4">
        <v>10.4</v>
      </c>
      <c r="D235" s="4">
        <v>4.5</v>
      </c>
      <c r="E235" s="4" t="s">
        <v>14</v>
      </c>
    </row>
    <row r="236" spans="1:5">
      <c r="A236" s="4" t="s">
        <v>89</v>
      </c>
      <c r="B236" s="4" t="s">
        <v>10</v>
      </c>
      <c r="C236" s="4">
        <v>10.199999999999999</v>
      </c>
      <c r="D236" s="4">
        <v>5</v>
      </c>
      <c r="E236" s="4" t="s">
        <v>14</v>
      </c>
    </row>
    <row r="237" spans="1:5">
      <c r="A237" s="4" t="s">
        <v>289</v>
      </c>
      <c r="B237" s="4" t="s">
        <v>30</v>
      </c>
      <c r="C237" s="4">
        <v>10.199999999999999</v>
      </c>
      <c r="D237" s="4">
        <v>4.5</v>
      </c>
      <c r="E237" s="4" t="s">
        <v>14</v>
      </c>
    </row>
    <row r="238" spans="1:5">
      <c r="A238" s="4" t="s">
        <v>163</v>
      </c>
      <c r="B238" s="4" t="s">
        <v>9</v>
      </c>
      <c r="C238" s="4">
        <v>10.199999999999999</v>
      </c>
      <c r="D238" s="4">
        <v>4.5</v>
      </c>
      <c r="E238" s="4" t="s">
        <v>14</v>
      </c>
    </row>
    <row r="239" spans="1:5">
      <c r="A239" s="4" t="s">
        <v>155</v>
      </c>
      <c r="B239" s="4" t="s">
        <v>4</v>
      </c>
      <c r="C239" s="4">
        <v>10</v>
      </c>
      <c r="D239" s="4">
        <v>5.5</v>
      </c>
      <c r="E239" s="4" t="s">
        <v>14</v>
      </c>
    </row>
    <row r="240" spans="1:5">
      <c r="A240" s="4" t="s">
        <v>210</v>
      </c>
      <c r="B240" s="4" t="s">
        <v>29</v>
      </c>
      <c r="C240" s="4">
        <v>10</v>
      </c>
      <c r="D240" s="4">
        <v>5</v>
      </c>
      <c r="E240" s="4" t="s">
        <v>14</v>
      </c>
    </row>
    <row r="241" spans="1:5">
      <c r="A241" s="4" t="s">
        <v>290</v>
      </c>
      <c r="B241" s="4" t="s">
        <v>1</v>
      </c>
      <c r="C241" s="4">
        <v>10</v>
      </c>
      <c r="D241" s="4">
        <v>4.5</v>
      </c>
      <c r="E241" s="4" t="s">
        <v>14</v>
      </c>
    </row>
    <row r="242" spans="1:5">
      <c r="A242" s="4" t="s">
        <v>181</v>
      </c>
      <c r="B242" s="4" t="s">
        <v>10</v>
      </c>
      <c r="C242" s="4">
        <v>9.8000000000000007</v>
      </c>
      <c r="D242" s="4">
        <v>4.5</v>
      </c>
      <c r="E242" s="4" t="s">
        <v>14</v>
      </c>
    </row>
    <row r="243" spans="1:5">
      <c r="A243" s="4" t="s">
        <v>292</v>
      </c>
      <c r="B243" s="4" t="s">
        <v>24</v>
      </c>
      <c r="C243" s="4">
        <v>9.8000000000000007</v>
      </c>
      <c r="D243" s="4">
        <v>4</v>
      </c>
      <c r="E243" s="4" t="s">
        <v>14</v>
      </c>
    </row>
    <row r="244" spans="1:5">
      <c r="A244" s="4" t="s">
        <v>84</v>
      </c>
      <c r="B244" s="4" t="s">
        <v>6</v>
      </c>
      <c r="C244" s="4">
        <v>9.6</v>
      </c>
      <c r="D244" s="4">
        <v>5</v>
      </c>
      <c r="E244" s="4" t="s">
        <v>14</v>
      </c>
    </row>
    <row r="245" spans="1:5">
      <c r="A245" s="4" t="s">
        <v>288</v>
      </c>
      <c r="B245" s="4" t="s">
        <v>0</v>
      </c>
      <c r="C245" s="4">
        <v>9.4</v>
      </c>
      <c r="D245" s="4">
        <v>5</v>
      </c>
      <c r="E245" s="4" t="s">
        <v>14</v>
      </c>
    </row>
    <row r="246" spans="1:5">
      <c r="A246" s="4" t="s">
        <v>287</v>
      </c>
      <c r="B246" s="4" t="s">
        <v>5</v>
      </c>
      <c r="C246" s="4">
        <v>9.1</v>
      </c>
      <c r="D246" s="4">
        <v>5.5</v>
      </c>
      <c r="E246" s="4" t="s">
        <v>14</v>
      </c>
    </row>
    <row r="247" spans="1:5">
      <c r="A247" s="4" t="s">
        <v>36</v>
      </c>
      <c r="B247" s="4" t="s">
        <v>7</v>
      </c>
      <c r="C247" s="4">
        <v>9</v>
      </c>
      <c r="D247" s="4">
        <v>8</v>
      </c>
      <c r="E247" s="4" t="s">
        <v>16</v>
      </c>
    </row>
    <row r="248" spans="1:5">
      <c r="A248" s="4" t="s">
        <v>192</v>
      </c>
      <c r="B248" s="4" t="s">
        <v>25</v>
      </c>
      <c r="C248" s="4">
        <v>8.9</v>
      </c>
      <c r="D248" s="4">
        <v>4.5</v>
      </c>
      <c r="E248" s="4" t="s">
        <v>16</v>
      </c>
    </row>
    <row r="249" spans="1:5">
      <c r="A249" s="4" t="s">
        <v>187</v>
      </c>
      <c r="B249" s="4" t="s">
        <v>1</v>
      </c>
      <c r="C249" s="4">
        <v>8.8000000000000007</v>
      </c>
      <c r="D249" s="4">
        <v>5</v>
      </c>
      <c r="E249" s="4" t="s">
        <v>14</v>
      </c>
    </row>
    <row r="250" spans="1:5">
      <c r="A250" s="4" t="s">
        <v>170</v>
      </c>
      <c r="B250" s="4" t="s">
        <v>2</v>
      </c>
      <c r="C250" s="4">
        <v>8.5</v>
      </c>
      <c r="D250" s="4">
        <v>5.5</v>
      </c>
      <c r="E250" s="4" t="s">
        <v>14</v>
      </c>
    </row>
    <row r="251" spans="1:5">
      <c r="A251" s="4" t="s">
        <v>294</v>
      </c>
      <c r="B251" s="4" t="s">
        <v>25</v>
      </c>
      <c r="C251" s="4">
        <v>8.1999999999999993</v>
      </c>
      <c r="D251" s="4">
        <v>4.5</v>
      </c>
      <c r="E251" s="4" t="s">
        <v>14</v>
      </c>
    </row>
    <row r="252" spans="1:5">
      <c r="A252" s="4" t="s">
        <v>60</v>
      </c>
      <c r="B252" s="4" t="s">
        <v>7</v>
      </c>
      <c r="C252" s="4">
        <v>8</v>
      </c>
      <c r="D252" s="4">
        <v>5.5</v>
      </c>
      <c r="E252" s="4" t="s">
        <v>14</v>
      </c>
    </row>
    <row r="253" spans="1:5">
      <c r="A253" s="4" t="s">
        <v>212</v>
      </c>
      <c r="B253" s="4" t="s">
        <v>29</v>
      </c>
      <c r="C253" s="4">
        <v>8</v>
      </c>
      <c r="D253" s="4">
        <v>4</v>
      </c>
      <c r="E253" s="4" t="s">
        <v>14</v>
      </c>
    </row>
    <row r="254" spans="1:5">
      <c r="A254" s="4" t="s">
        <v>226</v>
      </c>
      <c r="B254" s="4" t="s">
        <v>30</v>
      </c>
      <c r="C254" s="4">
        <v>7.8</v>
      </c>
      <c r="D254" s="4">
        <v>4</v>
      </c>
      <c r="E254" s="4" t="s">
        <v>13</v>
      </c>
    </row>
    <row r="255" spans="1:5">
      <c r="A255" s="4" t="s">
        <v>158</v>
      </c>
      <c r="B255" s="4" t="s">
        <v>10</v>
      </c>
      <c r="C255" s="4">
        <v>7.8</v>
      </c>
      <c r="D255" s="4">
        <v>4.5</v>
      </c>
      <c r="E255" s="4" t="s">
        <v>14</v>
      </c>
    </row>
    <row r="256" spans="1:5">
      <c r="A256" s="4" t="s">
        <v>286</v>
      </c>
      <c r="B256" s="4" t="s">
        <v>10</v>
      </c>
      <c r="C256" s="4">
        <v>7.7</v>
      </c>
      <c r="D256" s="4">
        <v>6.5</v>
      </c>
      <c r="E256" s="4" t="s">
        <v>16</v>
      </c>
    </row>
    <row r="257" spans="1:5">
      <c r="A257" s="4" t="s">
        <v>92</v>
      </c>
      <c r="B257" s="4" t="s">
        <v>2</v>
      </c>
      <c r="C257" s="4">
        <v>7.6</v>
      </c>
      <c r="D257" s="4">
        <v>7.5</v>
      </c>
      <c r="E257" s="4" t="s">
        <v>16</v>
      </c>
    </row>
    <row r="258" spans="1:5">
      <c r="A258" s="4" t="s">
        <v>293</v>
      </c>
      <c r="B258" s="4" t="s">
        <v>2</v>
      </c>
      <c r="C258" s="4">
        <v>7.4</v>
      </c>
      <c r="D258" s="4">
        <v>5</v>
      </c>
      <c r="E258" s="4" t="s">
        <v>14</v>
      </c>
    </row>
    <row r="259" spans="1:5">
      <c r="A259" s="4" t="s">
        <v>296</v>
      </c>
      <c r="B259" s="4" t="s">
        <v>11</v>
      </c>
      <c r="C259" s="4">
        <v>6.9</v>
      </c>
      <c r="D259" s="4">
        <v>4.5</v>
      </c>
      <c r="E259" s="4" t="s">
        <v>13</v>
      </c>
    </row>
    <row r="260" spans="1:5">
      <c r="A260" s="4" t="s">
        <v>180</v>
      </c>
      <c r="B260" s="4" t="s">
        <v>10</v>
      </c>
      <c r="C260" s="4">
        <v>6.8</v>
      </c>
      <c r="D260" s="4">
        <v>5</v>
      </c>
      <c r="E260" s="4" t="s">
        <v>16</v>
      </c>
    </row>
    <row r="261" spans="1:5">
      <c r="A261" s="4" t="s">
        <v>295</v>
      </c>
      <c r="B261" s="4" t="s">
        <v>12</v>
      </c>
      <c r="C261" s="4">
        <v>6.8</v>
      </c>
      <c r="D261" s="4">
        <v>5</v>
      </c>
      <c r="E261" s="4" t="s">
        <v>16</v>
      </c>
    </row>
    <row r="262" spans="1:5">
      <c r="A262" s="4" t="s">
        <v>126</v>
      </c>
      <c r="B262" s="4" t="s">
        <v>3</v>
      </c>
      <c r="C262" s="4">
        <v>6.5</v>
      </c>
      <c r="D262" s="4">
        <v>6.5</v>
      </c>
      <c r="E262" s="4" t="s">
        <v>16</v>
      </c>
    </row>
    <row r="263" spans="1:5">
      <c r="A263" s="4" t="s">
        <v>216</v>
      </c>
      <c r="B263" s="4" t="s">
        <v>30</v>
      </c>
      <c r="C263" s="4">
        <v>6.5</v>
      </c>
      <c r="D263" s="4">
        <v>4</v>
      </c>
      <c r="E263" s="4" t="s">
        <v>13</v>
      </c>
    </row>
    <row r="264" spans="1:5">
      <c r="A264" s="4" t="s">
        <v>297</v>
      </c>
      <c r="B264" s="4" t="s">
        <v>29</v>
      </c>
      <c r="C264" s="4">
        <v>6</v>
      </c>
      <c r="D264" s="4">
        <v>5</v>
      </c>
      <c r="E264" s="4" t="s">
        <v>16</v>
      </c>
    </row>
    <row r="265" spans="1:5">
      <c r="A265" s="4" t="s">
        <v>298</v>
      </c>
      <c r="B265" s="4" t="s">
        <v>12</v>
      </c>
      <c r="C265" s="4">
        <v>5.6</v>
      </c>
      <c r="D265" s="4">
        <v>4.5</v>
      </c>
      <c r="E265" s="4" t="s">
        <v>13</v>
      </c>
    </row>
    <row r="266" spans="1:5">
      <c r="A266" s="4" t="s">
        <v>95</v>
      </c>
      <c r="B266" s="4" t="s">
        <v>1</v>
      </c>
      <c r="C266" s="4">
        <v>5.3</v>
      </c>
      <c r="D266" s="4">
        <v>4.5</v>
      </c>
      <c r="E266" s="4" t="s">
        <v>13</v>
      </c>
    </row>
    <row r="267" spans="1:5">
      <c r="A267" s="4" t="s">
        <v>184</v>
      </c>
      <c r="B267" s="4" t="s">
        <v>2</v>
      </c>
      <c r="C267" s="4">
        <v>5.2</v>
      </c>
      <c r="D267" s="4">
        <v>5</v>
      </c>
      <c r="E267" s="4" t="s">
        <v>13</v>
      </c>
    </row>
    <row r="268" spans="1:5">
      <c r="A268" s="4" t="s">
        <v>46</v>
      </c>
      <c r="B268" s="4" t="s">
        <v>7</v>
      </c>
      <c r="C268" s="4">
        <v>5.0999999999999996</v>
      </c>
      <c r="D268" s="4">
        <v>4.5</v>
      </c>
      <c r="E268" s="4" t="s">
        <v>13</v>
      </c>
    </row>
    <row r="269" spans="1:5">
      <c r="A269" s="4" t="s">
        <v>299</v>
      </c>
      <c r="B269" s="4" t="s">
        <v>6</v>
      </c>
      <c r="C269" s="4">
        <v>4.9000000000000004</v>
      </c>
      <c r="D269" s="4">
        <v>4.5</v>
      </c>
      <c r="E269" s="4" t="s">
        <v>13</v>
      </c>
    </row>
    <row r="270" spans="1:5">
      <c r="A270" s="4" t="s">
        <v>300</v>
      </c>
      <c r="B270" s="4" t="s">
        <v>10</v>
      </c>
      <c r="C270" s="4">
        <v>4.4000000000000004</v>
      </c>
      <c r="D270" s="4">
        <v>4.5</v>
      </c>
      <c r="E270" s="4" t="s">
        <v>13</v>
      </c>
    </row>
    <row r="271" spans="1:5">
      <c r="A271" s="4" t="s">
        <v>194</v>
      </c>
      <c r="B271" s="4" t="s">
        <v>233</v>
      </c>
      <c r="C271" s="4">
        <v>3.1</v>
      </c>
      <c r="D271" s="4">
        <v>5.5</v>
      </c>
      <c r="E271" s="4" t="s">
        <v>16</v>
      </c>
    </row>
    <row r="272" spans="1:5">
      <c r="A272" s="4" t="s">
        <v>197</v>
      </c>
      <c r="B272" s="4" t="s">
        <v>11</v>
      </c>
      <c r="C272" s="4">
        <v>3</v>
      </c>
      <c r="D272" s="4">
        <v>5</v>
      </c>
      <c r="E272" s="4" t="s">
        <v>16</v>
      </c>
    </row>
    <row r="273" spans="1:5">
      <c r="A273" s="4" t="s">
        <v>214</v>
      </c>
      <c r="B273" s="4" t="s">
        <v>1</v>
      </c>
      <c r="C273" s="4">
        <v>2.9</v>
      </c>
      <c r="D273" s="4">
        <v>6.5</v>
      </c>
      <c r="E273" s="4" t="s">
        <v>16</v>
      </c>
    </row>
    <row r="274" spans="1:5">
      <c r="A274" s="4" t="s">
        <v>302</v>
      </c>
      <c r="B274" s="4" t="s">
        <v>3</v>
      </c>
      <c r="C274" s="4">
        <v>2.9</v>
      </c>
      <c r="D274" s="4">
        <v>4.5</v>
      </c>
      <c r="E274" s="4" t="s">
        <v>16</v>
      </c>
    </row>
    <row r="275" spans="1:5">
      <c r="A275" s="4" t="s">
        <v>303</v>
      </c>
      <c r="B275" s="4" t="s">
        <v>5</v>
      </c>
      <c r="C275" s="4">
        <v>2.9</v>
      </c>
      <c r="D275" s="4">
        <v>4.5</v>
      </c>
      <c r="E275" s="4" t="s">
        <v>13</v>
      </c>
    </row>
    <row r="276" spans="1:5">
      <c r="A276" s="4" t="s">
        <v>301</v>
      </c>
      <c r="B276" s="4" t="s">
        <v>30</v>
      </c>
      <c r="C276" s="4">
        <v>2.8</v>
      </c>
      <c r="D276" s="4">
        <v>5</v>
      </c>
      <c r="E276" s="4" t="s">
        <v>16</v>
      </c>
    </row>
    <row r="277" spans="1:5">
      <c r="A277" s="4" t="s">
        <v>304</v>
      </c>
      <c r="B277" s="4" t="s">
        <v>24</v>
      </c>
      <c r="C277" s="4">
        <v>2.4</v>
      </c>
      <c r="D277" s="4">
        <v>5</v>
      </c>
      <c r="E277" s="4" t="s">
        <v>16</v>
      </c>
    </row>
    <row r="278" spans="1:5">
      <c r="A278" s="4" t="s">
        <v>200</v>
      </c>
      <c r="B278" s="4" t="s">
        <v>10</v>
      </c>
      <c r="C278" s="4">
        <v>2.4</v>
      </c>
      <c r="D278" s="4">
        <v>4.5</v>
      </c>
      <c r="E278" s="4" t="s">
        <v>16</v>
      </c>
    </row>
    <row r="279" spans="1:5">
      <c r="A279" s="4" t="s">
        <v>195</v>
      </c>
      <c r="B279" s="4" t="s">
        <v>6</v>
      </c>
      <c r="C279" s="4">
        <v>2</v>
      </c>
      <c r="D279" s="4">
        <v>4.5</v>
      </c>
      <c r="E279" s="4" t="s">
        <v>16</v>
      </c>
    </row>
    <row r="280" spans="1:5">
      <c r="A280" s="4" t="s">
        <v>305</v>
      </c>
      <c r="B280" s="4" t="s">
        <v>7</v>
      </c>
      <c r="C280" s="4">
        <v>1.1000000000000001</v>
      </c>
      <c r="D280" s="4">
        <v>4.5</v>
      </c>
      <c r="E280" s="4" t="s">
        <v>16</v>
      </c>
    </row>
    <row r="281" spans="1:5">
      <c r="A281" s="4" t="s">
        <v>193</v>
      </c>
      <c r="B281" s="4" t="s">
        <v>8</v>
      </c>
      <c r="C281" s="4">
        <v>1.1000000000000001</v>
      </c>
      <c r="D281" s="4">
        <v>4.5</v>
      </c>
      <c r="E281" s="4" t="s">
        <v>13</v>
      </c>
    </row>
    <row r="282" spans="1:5">
      <c r="A282" s="4" t="s">
        <v>198</v>
      </c>
      <c r="B282" s="4" t="s">
        <v>5</v>
      </c>
      <c r="C282" s="4">
        <v>0.8</v>
      </c>
      <c r="D282" s="4">
        <v>5</v>
      </c>
      <c r="E282" s="4" t="s">
        <v>16</v>
      </c>
    </row>
    <row r="283" spans="1:5">
      <c r="A283" s="4" t="s">
        <v>194</v>
      </c>
      <c r="B283" s="4" t="s">
        <v>10</v>
      </c>
      <c r="C283" s="4">
        <v>0.7</v>
      </c>
      <c r="D283" s="4">
        <v>4.5</v>
      </c>
      <c r="E283" s="4" t="s">
        <v>16</v>
      </c>
    </row>
    <row r="284" spans="1:5">
      <c r="A284" s="4" t="s">
        <v>189</v>
      </c>
      <c r="B284" s="4" t="s">
        <v>6</v>
      </c>
      <c r="C284" s="4">
        <v>0.4</v>
      </c>
      <c r="D284" s="4">
        <v>4.5</v>
      </c>
      <c r="E284" s="4" t="s">
        <v>16</v>
      </c>
    </row>
    <row r="285" spans="1:5">
      <c r="A285" s="4" t="s">
        <v>309</v>
      </c>
      <c r="B285" s="4" t="s">
        <v>30</v>
      </c>
      <c r="C285" s="4">
        <v>0.4</v>
      </c>
      <c r="D285" s="4">
        <v>4.5</v>
      </c>
      <c r="E285" s="4" t="s">
        <v>16</v>
      </c>
    </row>
    <row r="286" spans="1:5">
      <c r="A286" s="4" t="s">
        <v>201</v>
      </c>
      <c r="B286" s="4" t="s">
        <v>3</v>
      </c>
      <c r="C286" s="4">
        <v>0.2</v>
      </c>
      <c r="D286" s="4">
        <v>4.5</v>
      </c>
      <c r="E286" s="4" t="s">
        <v>16</v>
      </c>
    </row>
    <row r="287" spans="1:5">
      <c r="A287" s="4" t="s">
        <v>310</v>
      </c>
      <c r="B287" s="4" t="s">
        <v>29</v>
      </c>
      <c r="C287" s="4">
        <v>0.2</v>
      </c>
      <c r="D287" s="4">
        <v>4.5</v>
      </c>
      <c r="E287" s="4" t="s">
        <v>16</v>
      </c>
    </row>
    <row r="288" spans="1:5">
      <c r="A288" s="4" t="s">
        <v>311</v>
      </c>
      <c r="B288" s="4" t="s">
        <v>11</v>
      </c>
      <c r="C288" s="4">
        <v>0.2</v>
      </c>
      <c r="D288" s="4">
        <v>4.5</v>
      </c>
      <c r="E288" s="4" t="s">
        <v>16</v>
      </c>
    </row>
    <row r="289" spans="1:5">
      <c r="A289" s="4" t="s">
        <v>312</v>
      </c>
      <c r="B289" s="4" t="s">
        <v>11</v>
      </c>
      <c r="C289" s="4">
        <v>0.2</v>
      </c>
      <c r="D289" s="4">
        <v>4.5</v>
      </c>
      <c r="E289" s="4" t="s">
        <v>16</v>
      </c>
    </row>
    <row r="290" spans="1:5">
      <c r="A290" s="5"/>
      <c r="B290" s="5"/>
      <c r="C290" s="5"/>
      <c r="D290" s="5"/>
    </row>
    <row r="291" spans="1:5">
      <c r="A291" s="5"/>
      <c r="B291" s="5"/>
      <c r="C291" s="5"/>
      <c r="D291" s="5"/>
    </row>
    <row r="292" spans="1:5">
      <c r="A292" s="5"/>
      <c r="B292" s="5"/>
      <c r="C292" s="5"/>
      <c r="D292" s="5"/>
    </row>
    <row r="293" spans="1:5">
      <c r="A293" s="5"/>
      <c r="B293" s="5"/>
      <c r="C293" s="5"/>
      <c r="D293" s="5"/>
    </row>
    <row r="294" spans="1:5">
      <c r="A294" s="5"/>
      <c r="B294" s="5"/>
      <c r="C294" s="5"/>
      <c r="D294" s="5"/>
    </row>
    <row r="295" spans="1:5">
      <c r="A295" s="5"/>
      <c r="B295" s="5"/>
      <c r="C295" s="5"/>
      <c r="D295" s="5"/>
    </row>
    <row r="296" spans="1:5">
      <c r="A296" s="5"/>
      <c r="B296" s="5"/>
      <c r="C296" s="5"/>
      <c r="D296" s="5"/>
    </row>
    <row r="297" spans="1:5">
      <c r="A297" s="5"/>
      <c r="B297" s="5"/>
      <c r="C297" s="5"/>
      <c r="D297" s="5"/>
    </row>
    <row r="298" spans="1:5">
      <c r="A298" s="5"/>
      <c r="B298" s="5"/>
      <c r="C298" s="5"/>
      <c r="D298" s="5"/>
    </row>
    <row r="299" spans="1:5">
      <c r="A299" s="5"/>
      <c r="B299" s="5"/>
      <c r="C299" s="5"/>
      <c r="D299" s="5"/>
    </row>
    <row r="300" spans="1:5">
      <c r="A300" s="5"/>
      <c r="B300" s="5"/>
      <c r="C300" s="5"/>
      <c r="D300" s="5"/>
    </row>
    <row r="301" spans="1:5">
      <c r="A301" s="5"/>
      <c r="B301" s="5"/>
      <c r="C301" s="5"/>
      <c r="D301" s="5"/>
    </row>
    <row r="302" spans="1:5">
      <c r="A302" s="5"/>
      <c r="B302" s="5"/>
      <c r="C302" s="5"/>
      <c r="D302" s="5"/>
    </row>
    <row r="303" spans="1:5">
      <c r="A303" s="5"/>
      <c r="B303" s="5"/>
      <c r="C303" s="5"/>
      <c r="D303" s="5"/>
    </row>
    <row r="304" spans="1:5">
      <c r="A304" s="5"/>
      <c r="B304" s="5"/>
      <c r="C304" s="5"/>
      <c r="D304" s="5"/>
    </row>
    <row r="305" spans="1:10">
      <c r="A305" s="5"/>
      <c r="B305" s="5"/>
      <c r="C305" s="5"/>
      <c r="D305" s="5"/>
    </row>
    <row r="306" spans="1:10">
      <c r="A306" s="5"/>
      <c r="B306" s="5"/>
      <c r="C306" s="5"/>
      <c r="D306" s="5"/>
    </row>
    <row r="307" spans="1:10">
      <c r="A307" s="5"/>
      <c r="B307" s="5"/>
      <c r="C307" s="5"/>
      <c r="D307" s="5"/>
    </row>
    <row r="308" spans="1:10">
      <c r="A308" s="5"/>
      <c r="B308" s="5"/>
      <c r="C308" s="5"/>
      <c r="D308" s="5"/>
    </row>
    <row r="309" spans="1:10">
      <c r="A309" s="5"/>
      <c r="B309" s="5"/>
      <c r="C309" s="5"/>
      <c r="D309" s="5"/>
    </row>
    <row r="310" spans="1:10">
      <c r="A310" s="5"/>
      <c r="B310" s="5"/>
      <c r="C310" s="5"/>
      <c r="D310" s="5"/>
    </row>
    <row r="311" spans="1:10">
      <c r="A311" s="5"/>
      <c r="B311" s="5"/>
      <c r="C311" s="5"/>
      <c r="D311" s="5"/>
    </row>
    <row r="312" spans="1:10">
      <c r="A312" s="5"/>
      <c r="B312" s="5"/>
      <c r="C312" s="5"/>
      <c r="D312" s="5"/>
    </row>
    <row r="313" spans="1:10">
      <c r="A313" s="5"/>
      <c r="B313" s="5"/>
      <c r="C313" s="5"/>
      <c r="D313" s="5"/>
    </row>
    <row r="314" spans="1:10">
      <c r="A314" s="5"/>
      <c r="B314" s="5"/>
      <c r="C314" s="5"/>
      <c r="D314" s="5"/>
    </row>
    <row r="315" spans="1:10">
      <c r="A315" s="5"/>
      <c r="B315" s="5"/>
      <c r="C315" s="5"/>
      <c r="D315" s="5"/>
    </row>
    <row r="316" spans="1:10">
      <c r="A316" s="5"/>
      <c r="B316" s="5"/>
      <c r="C316" s="5"/>
      <c r="D316" s="5"/>
    </row>
    <row r="317" spans="1:10">
      <c r="A317" s="5"/>
      <c r="B317" s="5"/>
      <c r="C317" s="5"/>
      <c r="D317" s="5"/>
    </row>
    <row r="318" spans="1:10">
      <c r="A318" s="5"/>
      <c r="B318" s="5"/>
      <c r="C318" s="5"/>
      <c r="D318" s="5"/>
    </row>
    <row r="319" spans="1:10">
      <c r="A319" s="5"/>
      <c r="B319" s="5"/>
      <c r="C319" s="5"/>
      <c r="D319" s="5"/>
      <c r="G319" s="5"/>
      <c r="H319" s="5"/>
      <c r="I319" s="5"/>
      <c r="J319" s="5"/>
    </row>
    <row r="320" spans="1:10">
      <c r="A320" s="5"/>
      <c r="B320" s="5"/>
      <c r="C320" s="5"/>
      <c r="D320" s="5"/>
      <c r="G320" s="5"/>
      <c r="H320" s="5"/>
      <c r="I320" s="5"/>
      <c r="J320" s="5"/>
    </row>
    <row r="321" spans="1:10">
      <c r="A321" s="5"/>
      <c r="B321" s="5"/>
      <c r="C321" s="5"/>
      <c r="D321" s="5"/>
      <c r="G321" s="5"/>
      <c r="H321" s="5"/>
      <c r="I321" s="5"/>
      <c r="J321" s="5"/>
    </row>
    <row r="322" spans="1:10">
      <c r="A322" s="5"/>
      <c r="B322" s="5"/>
      <c r="C322" s="5"/>
      <c r="D322" s="5"/>
      <c r="G322" s="5"/>
      <c r="H322" s="5"/>
      <c r="I322" s="5"/>
      <c r="J322" s="5"/>
    </row>
    <row r="323" spans="1:10">
      <c r="A323" s="5"/>
      <c r="B323" s="5"/>
      <c r="C323" s="5"/>
      <c r="D323" s="5"/>
      <c r="G323" s="5"/>
      <c r="H323" s="5"/>
      <c r="I323" s="5"/>
      <c r="J323" s="5"/>
    </row>
    <row r="324" spans="1:10">
      <c r="A324" s="5"/>
      <c r="B324" s="5"/>
      <c r="C324" s="5"/>
      <c r="D324" s="5"/>
      <c r="G324" s="5"/>
      <c r="H324" s="5"/>
      <c r="I324" s="5"/>
      <c r="J324" s="5"/>
    </row>
    <row r="325" spans="1:10">
      <c r="A325" s="5"/>
      <c r="B325" s="5"/>
      <c r="C325" s="5"/>
      <c r="D325" s="5"/>
      <c r="G325" s="5"/>
      <c r="H325" s="5"/>
      <c r="I325" s="5"/>
      <c r="J325" s="5"/>
    </row>
    <row r="326" spans="1:10">
      <c r="A326" s="5"/>
      <c r="B326" s="5"/>
      <c r="C326" s="5"/>
      <c r="D326" s="5"/>
      <c r="G326" s="5"/>
      <c r="H326" s="5"/>
      <c r="I326" s="5"/>
      <c r="J326" s="5"/>
    </row>
    <row r="327" spans="1:10">
      <c r="A327" s="5"/>
      <c r="B327" s="5"/>
      <c r="C327" s="5"/>
      <c r="D327" s="5"/>
      <c r="G327" s="5"/>
      <c r="H327" s="5"/>
      <c r="I327" s="5"/>
      <c r="J327" s="5"/>
    </row>
    <row r="328" spans="1:10">
      <c r="A328" s="5"/>
      <c r="B328" s="5"/>
      <c r="C328" s="5"/>
      <c r="D328" s="5"/>
      <c r="G328" s="5"/>
      <c r="H328" s="5"/>
      <c r="I328" s="5"/>
      <c r="J328" s="5"/>
    </row>
    <row r="329" spans="1:10">
      <c r="A329" s="5"/>
      <c r="B329" s="5"/>
      <c r="C329" s="5"/>
      <c r="D329" s="5"/>
      <c r="G329" s="5"/>
      <c r="H329" s="5"/>
      <c r="I329" s="5"/>
      <c r="J329" s="5"/>
    </row>
    <row r="330" spans="1:10">
      <c r="A330" s="5"/>
      <c r="B330" s="5"/>
      <c r="C330" s="5"/>
      <c r="D330" s="5"/>
      <c r="G330" s="5"/>
      <c r="H330" s="5"/>
      <c r="I330" s="5"/>
      <c r="J330" s="5"/>
    </row>
    <row r="331" spans="1:10">
      <c r="A331" s="5"/>
      <c r="B331" s="5"/>
      <c r="C331" s="5"/>
      <c r="D331" s="5"/>
      <c r="G331" s="5"/>
      <c r="H331" s="5"/>
      <c r="I331" s="5"/>
      <c r="J331" s="5"/>
    </row>
    <row r="332" spans="1:10">
      <c r="A332" s="5"/>
      <c r="B332" s="5"/>
      <c r="C332" s="5"/>
      <c r="D332" s="5"/>
      <c r="G332" s="5"/>
      <c r="H332" s="5"/>
      <c r="I332" s="5"/>
      <c r="J332" s="5"/>
    </row>
    <row r="333" spans="1:10">
      <c r="A333" s="5"/>
      <c r="B333" s="5"/>
      <c r="C333" s="5"/>
      <c r="D333" s="5"/>
      <c r="G333" s="5"/>
      <c r="H333" s="5"/>
      <c r="I333" s="5"/>
      <c r="J333" s="5"/>
    </row>
    <row r="334" spans="1:10">
      <c r="A334" s="5"/>
      <c r="B334" s="5"/>
      <c r="C334" s="5"/>
      <c r="D334" s="5"/>
      <c r="G334" s="5"/>
      <c r="H334" s="5"/>
      <c r="I334" s="5"/>
      <c r="J334" s="5"/>
    </row>
    <row r="335" spans="1:10">
      <c r="A335" s="5"/>
      <c r="B335" s="5"/>
      <c r="C335" s="5"/>
      <c r="D335" s="5"/>
      <c r="G335" s="5"/>
      <c r="H335" s="5"/>
      <c r="I335" s="5"/>
      <c r="J335" s="5"/>
    </row>
    <row r="336" spans="1:10">
      <c r="A336" s="5"/>
      <c r="B336" s="5"/>
      <c r="C336" s="5"/>
      <c r="D336" s="5"/>
      <c r="G336" s="5"/>
      <c r="H336" s="5"/>
      <c r="I336" s="5"/>
      <c r="J336" s="5"/>
    </row>
    <row r="337" spans="1:10">
      <c r="A337" s="5"/>
      <c r="B337" s="5"/>
      <c r="C337" s="5"/>
      <c r="D337" s="5"/>
      <c r="G337" s="5"/>
      <c r="H337" s="5"/>
      <c r="I337" s="5"/>
      <c r="J337" s="5"/>
    </row>
    <row r="338" spans="1:10">
      <c r="A338" s="5"/>
      <c r="B338" s="5"/>
      <c r="C338" s="5"/>
      <c r="D338" s="5"/>
      <c r="G338" s="5"/>
      <c r="H338" s="5"/>
      <c r="I338" s="5"/>
      <c r="J338" s="5"/>
    </row>
    <row r="339" spans="1:10">
      <c r="A339" s="5"/>
      <c r="B339" s="5"/>
      <c r="C339" s="5"/>
      <c r="D339" s="5"/>
      <c r="G339" s="5"/>
      <c r="H339" s="5"/>
      <c r="I339" s="5"/>
      <c r="J339" s="5"/>
    </row>
    <row r="340" spans="1:10">
      <c r="A340" s="5"/>
      <c r="B340" s="5"/>
      <c r="C340" s="5"/>
      <c r="D340" s="5"/>
    </row>
    <row r="341" spans="1:10">
      <c r="A341" s="5"/>
      <c r="B341" s="5"/>
      <c r="C341" s="5"/>
      <c r="D341" s="5"/>
    </row>
    <row r="342" spans="1:10">
      <c r="A342" s="5"/>
      <c r="B342" s="5"/>
      <c r="C342" s="5"/>
      <c r="D342" s="5"/>
    </row>
    <row r="343" spans="1:10">
      <c r="A343" s="5"/>
      <c r="B343" s="5"/>
      <c r="C343" s="5"/>
      <c r="D343" s="5"/>
    </row>
    <row r="344" spans="1:10">
      <c r="A344" s="5"/>
      <c r="B344" s="5"/>
      <c r="C344" s="5"/>
      <c r="D344" s="5"/>
    </row>
    <row r="345" spans="1:10">
      <c r="A345" s="5"/>
      <c r="B345" s="5"/>
      <c r="C345" s="5"/>
      <c r="D345" s="5"/>
    </row>
    <row r="346" spans="1:10">
      <c r="A346" s="5"/>
      <c r="B346" s="5"/>
      <c r="C346" s="5"/>
      <c r="D346" s="5"/>
    </row>
    <row r="347" spans="1:10">
      <c r="A347" s="5"/>
      <c r="B347" s="5"/>
      <c r="C347" s="5"/>
      <c r="D347" s="5"/>
    </row>
    <row r="348" spans="1:10">
      <c r="A348" s="5"/>
      <c r="B348" s="5"/>
      <c r="C348" s="5"/>
      <c r="D348" s="5"/>
    </row>
    <row r="349" spans="1:10">
      <c r="A349" s="5"/>
      <c r="B349" s="5"/>
      <c r="C349" s="5"/>
      <c r="D349" s="5"/>
    </row>
    <row r="350" spans="1:10">
      <c r="A350" s="5"/>
      <c r="B350" s="5"/>
      <c r="C350" s="5"/>
      <c r="D350" s="5"/>
    </row>
    <row r="351" spans="1:10">
      <c r="A351" s="5"/>
      <c r="B351" s="5"/>
      <c r="C351" s="5"/>
      <c r="D351" s="5"/>
    </row>
    <row r="352" spans="1:10">
      <c r="A352" s="5"/>
      <c r="B352" s="5"/>
      <c r="C352" s="5"/>
      <c r="D352" s="5"/>
    </row>
    <row r="353" spans="1:4">
      <c r="A353" s="5"/>
      <c r="B353" s="5"/>
      <c r="C353" s="5"/>
      <c r="D353" s="5"/>
    </row>
    <row r="354" spans="1:4">
      <c r="A354" s="5"/>
      <c r="B354" s="5"/>
      <c r="C354" s="5"/>
      <c r="D354" s="5"/>
    </row>
    <row r="355" spans="1:4">
      <c r="A355" s="5"/>
      <c r="B355" s="5"/>
      <c r="C355" s="5"/>
      <c r="D355" s="5"/>
    </row>
    <row r="356" spans="1:4">
      <c r="A356" s="5"/>
      <c r="B356" s="5"/>
      <c r="C356" s="5"/>
      <c r="D356" s="5"/>
    </row>
    <row r="357" spans="1:4">
      <c r="A357" s="5"/>
      <c r="B357" s="5"/>
      <c r="C357" s="5"/>
      <c r="D357" s="5"/>
    </row>
    <row r="358" spans="1:4">
      <c r="A358" s="5"/>
      <c r="B358" s="5"/>
      <c r="C358" s="5"/>
      <c r="D358" s="5"/>
    </row>
    <row r="359" spans="1:4">
      <c r="A359" s="5"/>
      <c r="B359" s="5"/>
      <c r="C359" s="5"/>
      <c r="D359" s="5"/>
    </row>
    <row r="360" spans="1:4">
      <c r="A360" s="5"/>
      <c r="B360" s="5"/>
      <c r="C360" s="5"/>
      <c r="D360" s="5"/>
    </row>
    <row r="361" spans="1:4">
      <c r="A361" s="5"/>
      <c r="B361" s="5"/>
      <c r="C361" s="5"/>
      <c r="D361" s="5"/>
    </row>
    <row r="362" spans="1:4">
      <c r="A362" s="5"/>
      <c r="B362" s="5"/>
      <c r="C362" s="5"/>
      <c r="D362" s="5"/>
    </row>
    <row r="363" spans="1:4">
      <c r="A363" s="5"/>
      <c r="B363" s="5"/>
      <c r="C363" s="5"/>
      <c r="D363" s="5"/>
    </row>
    <row r="364" spans="1:4">
      <c r="A364" s="5"/>
      <c r="B364" s="5"/>
      <c r="C364" s="5"/>
      <c r="D364" s="5"/>
    </row>
    <row r="365" spans="1:4">
      <c r="A365" s="5"/>
      <c r="B365" s="5"/>
      <c r="C365" s="5"/>
      <c r="D365" s="5"/>
    </row>
    <row r="366" spans="1:4">
      <c r="A366" s="5"/>
      <c r="B366" s="5"/>
      <c r="C366" s="5"/>
      <c r="D366" s="5"/>
    </row>
    <row r="367" spans="1:4">
      <c r="A367" s="5"/>
      <c r="B367" s="5"/>
      <c r="C367" s="5"/>
      <c r="D367" s="5"/>
    </row>
    <row r="368" spans="1:4">
      <c r="A368" s="5"/>
      <c r="B368" s="5"/>
      <c r="C368" s="5"/>
      <c r="D368" s="5"/>
    </row>
    <row r="369" spans="1:4">
      <c r="A369" s="5"/>
      <c r="B369" s="5"/>
      <c r="C369" s="5"/>
      <c r="D369" s="5"/>
    </row>
    <row r="370" spans="1:4">
      <c r="A370" s="5"/>
      <c r="B370" s="5"/>
      <c r="C370" s="5"/>
      <c r="D370" s="5"/>
    </row>
    <row r="371" spans="1:4">
      <c r="A371" s="5"/>
      <c r="B371" s="5"/>
      <c r="C371" s="5"/>
      <c r="D371" s="5"/>
    </row>
    <row r="372" spans="1:4">
      <c r="A372" s="5"/>
      <c r="B372" s="5"/>
      <c r="C372" s="5"/>
      <c r="D372" s="5"/>
    </row>
    <row r="373" spans="1:4">
      <c r="A373" s="5"/>
      <c r="B373" s="5"/>
      <c r="C373" s="5"/>
      <c r="D373" s="5"/>
    </row>
    <row r="374" spans="1:4">
      <c r="A374" s="5"/>
      <c r="B374" s="5"/>
      <c r="C374" s="5"/>
      <c r="D374" s="5"/>
    </row>
    <row r="375" spans="1:4">
      <c r="A375" s="5"/>
      <c r="B375" s="5"/>
      <c r="C375" s="5"/>
      <c r="D375" s="5"/>
    </row>
    <row r="376" spans="1:4">
      <c r="A376" s="5"/>
      <c r="B376" s="5"/>
      <c r="C376" s="5"/>
      <c r="D376" s="5"/>
    </row>
    <row r="377" spans="1:4">
      <c r="A377" s="5"/>
      <c r="B377" s="5"/>
      <c r="C377" s="5"/>
      <c r="D377" s="5"/>
    </row>
    <row r="378" spans="1:4">
      <c r="A378" s="5"/>
      <c r="B378" s="5"/>
      <c r="C378" s="5"/>
      <c r="D378" s="5"/>
    </row>
    <row r="379" spans="1:4">
      <c r="A379" s="5"/>
      <c r="B379" s="5"/>
      <c r="C379" s="5"/>
      <c r="D379" s="5"/>
    </row>
    <row r="380" spans="1:4">
      <c r="A380" s="5"/>
      <c r="B380" s="5"/>
      <c r="C380" s="5"/>
      <c r="D380" s="5"/>
    </row>
    <row r="381" spans="1:4">
      <c r="A381" s="5"/>
      <c r="B381" s="5"/>
      <c r="C381" s="5"/>
      <c r="D381" s="5"/>
    </row>
    <row r="382" spans="1:4">
      <c r="A382" s="5"/>
      <c r="B382" s="5"/>
      <c r="C382" s="5"/>
      <c r="D382" s="5"/>
    </row>
    <row r="383" spans="1:4">
      <c r="A383" s="5"/>
      <c r="B383" s="5"/>
      <c r="C383" s="5"/>
      <c r="D383" s="5"/>
    </row>
    <row r="384" spans="1:4">
      <c r="A384" s="5"/>
      <c r="B384" s="5"/>
      <c r="C384" s="5"/>
      <c r="D384" s="5"/>
    </row>
    <row r="385" spans="1:4">
      <c r="A385" s="5"/>
      <c r="B385" s="5"/>
      <c r="C385" s="5"/>
      <c r="D385" s="5"/>
    </row>
    <row r="386" spans="1:4">
      <c r="A386" s="5"/>
      <c r="B386" s="5"/>
      <c r="C386" s="5"/>
      <c r="D386" s="5"/>
    </row>
    <row r="387" spans="1:4">
      <c r="A387" s="5"/>
      <c r="B387" s="5"/>
      <c r="C387" s="5"/>
      <c r="D387" s="5"/>
    </row>
    <row r="388" spans="1:4">
      <c r="A388" s="5"/>
      <c r="B388" s="5"/>
      <c r="C388" s="5"/>
      <c r="D388" s="5"/>
    </row>
    <row r="389" spans="1:4">
      <c r="A389" s="5"/>
      <c r="B389" s="5"/>
      <c r="C389" s="5"/>
      <c r="D389" s="5"/>
    </row>
    <row r="390" spans="1:4">
      <c r="A390" s="5"/>
      <c r="B390" s="5"/>
      <c r="C390" s="5"/>
      <c r="D390" s="5"/>
    </row>
    <row r="391" spans="1:4">
      <c r="A391" s="5"/>
      <c r="B391" s="5"/>
      <c r="C391" s="5"/>
      <c r="D391" s="5"/>
    </row>
    <row r="392" spans="1:4">
      <c r="A392" s="5"/>
      <c r="B392" s="5"/>
      <c r="C392" s="5"/>
      <c r="D392" s="5"/>
    </row>
    <row r="393" spans="1:4">
      <c r="A393" s="5"/>
      <c r="B393" s="5"/>
      <c r="C393" s="5"/>
      <c r="D393" s="5"/>
    </row>
    <row r="394" spans="1:4">
      <c r="A394" s="5"/>
      <c r="B394" s="5"/>
      <c r="C394" s="5"/>
      <c r="D394" s="5"/>
    </row>
    <row r="395" spans="1:4">
      <c r="A395" s="5"/>
      <c r="B395" s="5"/>
      <c r="C395" s="5"/>
      <c r="D395" s="5"/>
    </row>
    <row r="396" spans="1:4">
      <c r="A396" s="5"/>
      <c r="B396" s="5"/>
      <c r="C396" s="5"/>
      <c r="D396" s="5"/>
    </row>
    <row r="397" spans="1:4">
      <c r="A397" s="5"/>
      <c r="B397" s="5"/>
      <c r="C397" s="5"/>
      <c r="D397" s="5"/>
    </row>
    <row r="398" spans="1:4">
      <c r="A398" s="5"/>
      <c r="B398" s="5"/>
      <c r="C398" s="5"/>
      <c r="D398" s="5"/>
    </row>
    <row r="399" spans="1:4">
      <c r="A399" s="5"/>
      <c r="B399" s="5"/>
      <c r="C399" s="5"/>
      <c r="D399" s="5"/>
    </row>
    <row r="400" spans="1:4">
      <c r="A400" s="5"/>
      <c r="B400" s="5"/>
      <c r="C400" s="5"/>
      <c r="D400" s="5"/>
    </row>
    <row r="401" spans="1:10">
      <c r="A401" s="5"/>
      <c r="B401" s="5"/>
      <c r="C401" s="5"/>
      <c r="D401" s="5"/>
    </row>
    <row r="402" spans="1:10">
      <c r="A402" s="5"/>
      <c r="B402" s="5"/>
      <c r="C402" s="5"/>
      <c r="D402" s="5"/>
    </row>
    <row r="403" spans="1:10">
      <c r="A403" s="5"/>
      <c r="B403" s="5"/>
      <c r="C403" s="5"/>
      <c r="D403" s="5"/>
    </row>
    <row r="404" spans="1:10">
      <c r="A404" s="5"/>
      <c r="B404" s="5"/>
      <c r="C404" s="5"/>
      <c r="D404" s="5"/>
    </row>
    <row r="405" spans="1:10">
      <c r="A405" s="5"/>
      <c r="B405" s="5"/>
      <c r="C405" s="5"/>
      <c r="D405" s="5"/>
    </row>
    <row r="406" spans="1:10">
      <c r="A406" s="5"/>
      <c r="B406" s="5"/>
      <c r="C406" s="5"/>
      <c r="D406" s="5"/>
    </row>
    <row r="412" spans="1:10">
      <c r="G412" s="2"/>
      <c r="H412" s="2"/>
      <c r="I412" s="3"/>
      <c r="J412" s="2"/>
    </row>
  </sheetData>
  <mergeCells count="2">
    <mergeCell ref="A17:D17"/>
    <mergeCell ref="J23:K23"/>
  </mergeCells>
  <pageMargins left="0.7" right="0.7" top="0.75" bottom="0.75" header="0.3" footer="0.3"/>
  <pageSetup paperSize="9" orientation="portrait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6"/>
  <dimension ref="A1:L412"/>
  <sheetViews>
    <sheetView workbookViewId="0"/>
  </sheetViews>
  <sheetFormatPr defaultRowHeight="15"/>
  <cols>
    <col min="1" max="1" width="19.7109375" style="4" customWidth="1"/>
    <col min="2" max="2" width="15.7109375" style="4" customWidth="1"/>
    <col min="3" max="3" width="9.140625" style="4" customWidth="1"/>
    <col min="4" max="5" width="9.140625" style="4"/>
    <col min="6" max="6" width="21.7109375" style="4" customWidth="1"/>
    <col min="7" max="8" width="9.140625" style="4"/>
    <col min="9" max="9" width="16.7109375" style="4" customWidth="1"/>
    <col min="10" max="10" width="17.42578125" style="4" customWidth="1"/>
    <col min="11" max="11" width="14.140625" style="4" customWidth="1"/>
    <col min="12" max="12" width="9.140625" style="4"/>
    <col min="13" max="13" width="21.42578125" style="4" customWidth="1"/>
    <col min="14" max="14" width="17.7109375" style="4" customWidth="1"/>
    <col min="15" max="15" width="17.42578125" style="4" customWidth="1"/>
    <col min="16" max="16" width="19.5703125" style="4" customWidth="1"/>
    <col min="17" max="17" width="19" style="4" customWidth="1"/>
    <col min="18" max="18" width="20.7109375" style="4" customWidth="1"/>
    <col min="19" max="16384" width="9.140625" style="4"/>
  </cols>
  <sheetData>
    <row r="1" spans="1:10">
      <c r="C1"/>
      <c r="D1"/>
      <c r="F1" s="4" t="s">
        <v>313</v>
      </c>
      <c r="G1" s="5">
        <v>100</v>
      </c>
      <c r="H1" s="5"/>
      <c r="I1" s="5"/>
      <c r="J1" s="5"/>
    </row>
    <row r="2" spans="1:10">
      <c r="C2"/>
      <c r="D2"/>
      <c r="G2" s="5"/>
      <c r="H2" s="5"/>
      <c r="I2" s="5"/>
      <c r="J2" s="5"/>
    </row>
    <row r="3" spans="1:10">
      <c r="C3"/>
      <c r="D3"/>
      <c r="F3" s="5" t="s">
        <v>17</v>
      </c>
      <c r="G3" s="5">
        <f>SUM(C1:C15)</f>
        <v>0</v>
      </c>
      <c r="H3" s="5"/>
      <c r="I3" s="5"/>
      <c r="J3" s="5"/>
    </row>
    <row r="4" spans="1:10">
      <c r="C4"/>
      <c r="D4"/>
      <c r="F4" s="5" t="s">
        <v>18</v>
      </c>
      <c r="G4" s="5">
        <f>SUM(D1:D15)</f>
        <v>0</v>
      </c>
      <c r="H4" s="5"/>
      <c r="I4" s="5"/>
      <c r="J4" s="5"/>
    </row>
    <row r="5" spans="1:10">
      <c r="C5"/>
      <c r="D5"/>
      <c r="F5" s="5" t="s">
        <v>19</v>
      </c>
      <c r="G5" s="5">
        <f>COUNTIF(E1:E15, "GK")</f>
        <v>0</v>
      </c>
      <c r="H5" s="5"/>
      <c r="I5" s="5"/>
      <c r="J5" s="5"/>
    </row>
    <row r="6" spans="1:10">
      <c r="C6"/>
      <c r="D6"/>
      <c r="F6" s="5" t="s">
        <v>20</v>
      </c>
      <c r="G6" s="5">
        <f>COUNTIF(E1:E15, "DF")</f>
        <v>0</v>
      </c>
      <c r="H6" s="5"/>
      <c r="I6" s="5"/>
      <c r="J6" s="5"/>
    </row>
    <row r="7" spans="1:10">
      <c r="C7"/>
      <c r="D7"/>
      <c r="F7" s="5" t="s">
        <v>21</v>
      </c>
      <c r="G7" s="5">
        <f>COUNTIF(E1:E15, "MF")</f>
        <v>0</v>
      </c>
      <c r="H7" s="5"/>
      <c r="I7" s="5"/>
      <c r="J7" s="5"/>
    </row>
    <row r="8" spans="1:10">
      <c r="C8"/>
      <c r="D8"/>
      <c r="F8" s="5" t="s">
        <v>22</v>
      </c>
      <c r="G8" s="5">
        <f>COUNTIF(E1:E15, "FW")</f>
        <v>0</v>
      </c>
      <c r="H8" s="5"/>
      <c r="I8" s="5"/>
      <c r="J8" s="5"/>
    </row>
    <row r="9" spans="1:10">
      <c r="C9"/>
      <c r="D9"/>
      <c r="G9" s="5"/>
      <c r="H9" s="5"/>
      <c r="I9" s="5"/>
      <c r="J9" s="5"/>
    </row>
    <row r="10" spans="1:10">
      <c r="C10"/>
      <c r="D10"/>
      <c r="F10" s="5" t="s">
        <v>5</v>
      </c>
      <c r="G10" s="5">
        <f>COUNTIF(B1:B15, "Arsenal")</f>
        <v>0</v>
      </c>
      <c r="H10" s="5"/>
      <c r="I10" s="5"/>
      <c r="J10" s="5"/>
    </row>
    <row r="11" spans="1:10">
      <c r="C11"/>
      <c r="D11"/>
      <c r="F11" s="5" t="s">
        <v>3</v>
      </c>
      <c r="G11" s="5">
        <f>COUNTIF(B1:B15, "Aston Villa")</f>
        <v>0</v>
      </c>
      <c r="H11" s="5"/>
      <c r="I11" s="5"/>
      <c r="J11" s="5"/>
    </row>
    <row r="12" spans="1:10">
      <c r="C12"/>
      <c r="D12"/>
      <c r="F12" s="5" t="s">
        <v>233</v>
      </c>
      <c r="G12" s="5">
        <f>COUNTIF(B1:B15, "Chelsea")</f>
        <v>0</v>
      </c>
      <c r="H12" s="5"/>
      <c r="I12" s="5"/>
      <c r="J12" s="5"/>
    </row>
    <row r="13" spans="1:10">
      <c r="C13"/>
      <c r="D13"/>
      <c r="F13" s="5" t="s">
        <v>0</v>
      </c>
      <c r="G13" s="5">
        <f>COUNTIF(B1:B15, "Everton")</f>
        <v>0</v>
      </c>
      <c r="H13" s="5"/>
      <c r="I13" s="5"/>
      <c r="J13" s="5"/>
    </row>
    <row r="14" spans="1:10">
      <c r="C14"/>
      <c r="D14"/>
      <c r="F14" s="5" t="s">
        <v>234</v>
      </c>
      <c r="G14" s="5">
        <f>COUNTIF(B1:B15, "Fulham")</f>
        <v>0</v>
      </c>
      <c r="H14" s="5"/>
      <c r="I14" s="5"/>
      <c r="J14" s="5"/>
    </row>
    <row r="15" spans="1:10">
      <c r="A15"/>
      <c r="B15"/>
      <c r="C15"/>
      <c r="D15"/>
      <c r="E15"/>
      <c r="F15" s="5" t="s">
        <v>6</v>
      </c>
      <c r="G15" s="5">
        <f>COUNTIF(B1:B15, "Liverpool")</f>
        <v>0</v>
      </c>
      <c r="H15" s="5"/>
      <c r="I15" s="5"/>
      <c r="J15" s="5"/>
    </row>
    <row r="16" spans="1:10">
      <c r="F16" s="5" t="s">
        <v>8</v>
      </c>
      <c r="G16" s="5">
        <f>COUNTIF(B1:B15, "Man City")</f>
        <v>0</v>
      </c>
      <c r="H16" s="5"/>
      <c r="I16" s="5"/>
      <c r="J16" s="5"/>
    </row>
    <row r="17" spans="1:12">
      <c r="A17" s="7" t="s">
        <v>27</v>
      </c>
      <c r="B17" s="7"/>
      <c r="C17" s="7"/>
      <c r="D17" s="7"/>
      <c r="F17" s="5" t="s">
        <v>235</v>
      </c>
      <c r="G17" s="5">
        <f>COUNTIF(B1:B15, "Man Utd")</f>
        <v>0</v>
      </c>
      <c r="H17" s="5"/>
      <c r="I17" s="5"/>
      <c r="J17" s="5" t="s">
        <v>28</v>
      </c>
      <c r="K17" s="4">
        <f>SUM(K1:K15)</f>
        <v>0</v>
      </c>
      <c r="L17" s="4">
        <f>SUM(L1:L15)</f>
        <v>0</v>
      </c>
    </row>
    <row r="18" spans="1:12">
      <c r="F18" s="5" t="s">
        <v>1</v>
      </c>
      <c r="G18" s="5">
        <f>COUNTIF(B1:B15, "Newcastle")</f>
        <v>0</v>
      </c>
      <c r="H18" s="5"/>
      <c r="I18" s="5"/>
      <c r="J18" s="5"/>
    </row>
    <row r="19" spans="1:12">
      <c r="F19" s="5" t="s">
        <v>4</v>
      </c>
      <c r="G19" s="5">
        <f>COUNTIF(B1:B15, "Norwich")</f>
        <v>0</v>
      </c>
      <c r="H19" s="5"/>
      <c r="I19" s="5"/>
      <c r="J19" s="5"/>
    </row>
    <row r="20" spans="1:12">
      <c r="A20" s="4" t="s">
        <v>35</v>
      </c>
      <c r="B20" s="4" t="s">
        <v>7</v>
      </c>
      <c r="C20" s="4">
        <v>44</v>
      </c>
      <c r="D20" s="4">
        <v>12</v>
      </c>
      <c r="E20" s="4" t="s">
        <v>15</v>
      </c>
      <c r="F20" s="5" t="s">
        <v>2</v>
      </c>
      <c r="G20" s="5">
        <f>COUNTIF(B1:B15, "QPR")</f>
        <v>0</v>
      </c>
      <c r="H20" s="5"/>
      <c r="I20" s="5"/>
      <c r="J20" s="5"/>
    </row>
    <row r="21" spans="1:12">
      <c r="A21" s="4" t="s">
        <v>31</v>
      </c>
      <c r="B21" s="4" t="s">
        <v>2</v>
      </c>
      <c r="C21" s="4">
        <v>36.1</v>
      </c>
      <c r="D21" s="4">
        <v>14</v>
      </c>
      <c r="E21" s="4" t="s">
        <v>16</v>
      </c>
      <c r="F21" s="5" t="s">
        <v>10</v>
      </c>
      <c r="G21" s="5">
        <f>COUNTIF(B2:B16, "Reading")</f>
        <v>0</v>
      </c>
      <c r="H21" s="5"/>
      <c r="I21" s="5"/>
      <c r="J21" s="5"/>
    </row>
    <row r="22" spans="1:12">
      <c r="A22" s="4" t="s">
        <v>202</v>
      </c>
      <c r="B22" s="4" t="s">
        <v>0</v>
      </c>
      <c r="C22" s="4">
        <v>26</v>
      </c>
      <c r="D22" s="4">
        <v>9.5</v>
      </c>
      <c r="E22" s="4" t="s">
        <v>15</v>
      </c>
      <c r="F22" s="5" t="s">
        <v>24</v>
      </c>
      <c r="G22" s="5">
        <f>COUNTIF(B3:B17, "Southampton")</f>
        <v>0</v>
      </c>
      <c r="H22" s="5"/>
      <c r="I22" s="5"/>
      <c r="J22" s="5"/>
    </row>
    <row r="23" spans="1:12">
      <c r="A23" s="4" t="s">
        <v>172</v>
      </c>
      <c r="B23" s="4" t="s">
        <v>5</v>
      </c>
      <c r="C23" s="4">
        <v>25.7</v>
      </c>
      <c r="D23" s="4">
        <v>5.5</v>
      </c>
      <c r="E23" s="4" t="s">
        <v>14</v>
      </c>
      <c r="F23" s="5" t="s">
        <v>30</v>
      </c>
      <c r="G23" s="5">
        <f>COUNTIF(B1:B15, "Stoke City")</f>
        <v>0</v>
      </c>
      <c r="H23" s="5"/>
      <c r="I23" s="6"/>
      <c r="J23" s="8" t="s">
        <v>26</v>
      </c>
      <c r="K23" s="8"/>
      <c r="L23" s="6"/>
    </row>
    <row r="24" spans="1:12">
      <c r="A24" s="4" t="s">
        <v>76</v>
      </c>
      <c r="B24" s="4" t="s">
        <v>1</v>
      </c>
      <c r="C24" s="4">
        <v>23.5</v>
      </c>
      <c r="D24" s="4">
        <v>5.5</v>
      </c>
      <c r="E24" s="4" t="s">
        <v>13</v>
      </c>
      <c r="F24" s="5" t="s">
        <v>9</v>
      </c>
      <c r="G24" s="5">
        <f>COUNTIF(B1:B15, "Sunderland")</f>
        <v>0</v>
      </c>
      <c r="H24" s="5"/>
      <c r="I24" s="5"/>
      <c r="J24" s="5"/>
    </row>
    <row r="25" spans="1:12">
      <c r="A25" s="4" t="s">
        <v>62</v>
      </c>
      <c r="B25" s="4" t="s">
        <v>6</v>
      </c>
      <c r="C25" s="4">
        <v>23.2</v>
      </c>
      <c r="D25" s="4">
        <v>7.5</v>
      </c>
      <c r="E25" s="4" t="s">
        <v>14</v>
      </c>
      <c r="F25" s="5" t="s">
        <v>11</v>
      </c>
      <c r="G25" s="5">
        <f>COUNTIF(B1:B15, "Swansea")</f>
        <v>0</v>
      </c>
      <c r="H25" s="5"/>
      <c r="I25" s="5"/>
      <c r="J25" s="5"/>
    </row>
    <row r="26" spans="1:12">
      <c r="A26" s="4" t="s">
        <v>199</v>
      </c>
      <c r="B26" s="4" t="s">
        <v>0</v>
      </c>
      <c r="C26" s="4">
        <v>21.1</v>
      </c>
      <c r="D26" s="4">
        <v>8</v>
      </c>
      <c r="E26" s="4" t="s">
        <v>16</v>
      </c>
      <c r="F26" s="5" t="s">
        <v>25</v>
      </c>
      <c r="G26" s="5">
        <f>COUNTIF(B1:B15, "Tottenham")</f>
        <v>0</v>
      </c>
      <c r="H26" s="5"/>
      <c r="I26" s="5"/>
      <c r="J26" s="5"/>
    </row>
    <row r="27" spans="1:12">
      <c r="A27" s="4" t="s">
        <v>237</v>
      </c>
      <c r="B27" s="4" t="s">
        <v>3</v>
      </c>
      <c r="C27" s="4">
        <v>20.8</v>
      </c>
      <c r="D27" s="4">
        <v>9</v>
      </c>
      <c r="E27" s="4" t="s">
        <v>16</v>
      </c>
      <c r="F27" s="5" t="s">
        <v>7</v>
      </c>
      <c r="G27" s="5">
        <f>COUNTIF(B1:B15, "West Brom")</f>
        <v>0</v>
      </c>
      <c r="H27" s="5"/>
      <c r="I27" s="5"/>
      <c r="J27" s="5"/>
    </row>
    <row r="28" spans="1:12">
      <c r="A28" s="4" t="s">
        <v>138</v>
      </c>
      <c r="B28" s="4" t="s">
        <v>4</v>
      </c>
      <c r="C28" s="4">
        <v>20.7</v>
      </c>
      <c r="D28" s="4">
        <v>6</v>
      </c>
      <c r="E28" s="4" t="s">
        <v>14</v>
      </c>
      <c r="F28" s="5" t="s">
        <v>12</v>
      </c>
      <c r="G28" s="5">
        <f>COUNTIF(B2:B16, "West Ham")</f>
        <v>0</v>
      </c>
      <c r="H28" s="5"/>
      <c r="I28" s="5"/>
      <c r="J28" s="5"/>
    </row>
    <row r="29" spans="1:12">
      <c r="A29" s="4" t="s">
        <v>147</v>
      </c>
      <c r="B29" s="4" t="s">
        <v>0</v>
      </c>
      <c r="C29" s="4">
        <v>20.3</v>
      </c>
      <c r="D29" s="4">
        <v>6.5</v>
      </c>
      <c r="E29" s="4" t="s">
        <v>14</v>
      </c>
      <c r="F29" s="5" t="s">
        <v>29</v>
      </c>
      <c r="G29" s="5">
        <f>COUNTIF(B1:B15, "Wigan")</f>
        <v>0</v>
      </c>
      <c r="H29" s="5"/>
      <c r="I29" s="5"/>
      <c r="J29" s="5"/>
    </row>
    <row r="30" spans="1:12">
      <c r="A30" s="4" t="s">
        <v>291</v>
      </c>
      <c r="B30" s="4" t="s">
        <v>3</v>
      </c>
      <c r="C30" s="4">
        <v>20.2</v>
      </c>
      <c r="D30" s="4">
        <v>4</v>
      </c>
      <c r="E30" s="4" t="s">
        <v>14</v>
      </c>
      <c r="F30" s="5" t="s">
        <v>23</v>
      </c>
      <c r="G30" s="4">
        <f>MAX(G10:G29)</f>
        <v>0</v>
      </c>
      <c r="H30" s="5"/>
      <c r="I30" s="5"/>
      <c r="J30" s="5"/>
    </row>
    <row r="31" spans="1:12">
      <c r="A31" s="4" t="s">
        <v>70</v>
      </c>
      <c r="B31" s="4" t="s">
        <v>1</v>
      </c>
      <c r="C31" s="4">
        <v>18.600000000000001</v>
      </c>
      <c r="D31" s="4">
        <v>9</v>
      </c>
      <c r="E31" s="4" t="s">
        <v>16</v>
      </c>
      <c r="G31" s="5"/>
      <c r="H31" s="5"/>
      <c r="I31" s="5"/>
      <c r="J31" s="5"/>
    </row>
    <row r="32" spans="1:12">
      <c r="A32" s="4" t="s">
        <v>269</v>
      </c>
      <c r="B32" s="4" t="s">
        <v>1</v>
      </c>
      <c r="C32" s="4">
        <v>18.399999999999999</v>
      </c>
      <c r="D32" s="4">
        <v>9</v>
      </c>
      <c r="E32" s="4" t="s">
        <v>15</v>
      </c>
      <c r="G32" s="5"/>
      <c r="H32" s="5"/>
      <c r="I32" s="5"/>
      <c r="J32" s="5"/>
    </row>
    <row r="33" spans="1:10">
      <c r="A33" s="4" t="s">
        <v>162</v>
      </c>
      <c r="B33" s="4" t="s">
        <v>0</v>
      </c>
      <c r="C33" s="4">
        <v>18.3</v>
      </c>
      <c r="D33" s="4">
        <v>6.5</v>
      </c>
      <c r="E33" s="4" t="s">
        <v>14</v>
      </c>
      <c r="G33" s="5"/>
      <c r="H33" s="5"/>
      <c r="I33" s="5"/>
      <c r="J33" s="5"/>
    </row>
    <row r="34" spans="1:10">
      <c r="A34" s="4" t="s">
        <v>205</v>
      </c>
      <c r="B34" s="4" t="s">
        <v>30</v>
      </c>
      <c r="C34" s="4">
        <v>17.600000000000001</v>
      </c>
      <c r="D34" s="4">
        <v>7.5</v>
      </c>
      <c r="E34" s="4" t="s">
        <v>16</v>
      </c>
      <c r="G34" s="5"/>
      <c r="H34" s="5"/>
      <c r="I34" s="5"/>
      <c r="J34" s="5"/>
    </row>
    <row r="35" spans="1:10">
      <c r="A35" s="4" t="s">
        <v>41</v>
      </c>
      <c r="B35" s="4" t="s">
        <v>0</v>
      </c>
      <c r="C35" s="4">
        <v>17.399999999999999</v>
      </c>
      <c r="D35" s="4">
        <v>10.5</v>
      </c>
      <c r="E35" s="4" t="s">
        <v>15</v>
      </c>
      <c r="G35" s="5"/>
      <c r="H35" s="5"/>
      <c r="I35" s="5"/>
      <c r="J35" s="5"/>
    </row>
    <row r="36" spans="1:10">
      <c r="A36" s="4" t="s">
        <v>314</v>
      </c>
      <c r="B36" s="4" t="s">
        <v>12</v>
      </c>
      <c r="C36" s="4">
        <v>17.100000000000001</v>
      </c>
      <c r="D36" s="4">
        <v>5.5</v>
      </c>
      <c r="E36" s="4" t="s">
        <v>16</v>
      </c>
    </row>
    <row r="37" spans="1:10">
      <c r="A37" s="4" t="s">
        <v>97</v>
      </c>
      <c r="B37" s="4" t="s">
        <v>6</v>
      </c>
      <c r="C37" s="4">
        <v>16.600000000000001</v>
      </c>
      <c r="D37" s="4">
        <v>5.5</v>
      </c>
      <c r="E37" s="4" t="s">
        <v>14</v>
      </c>
    </row>
    <row r="38" spans="1:10">
      <c r="A38" s="4" t="s">
        <v>226</v>
      </c>
      <c r="B38" s="4" t="s">
        <v>30</v>
      </c>
      <c r="C38" s="4">
        <v>16.399999999999999</v>
      </c>
      <c r="D38" s="4">
        <v>4</v>
      </c>
      <c r="E38" s="4" t="s">
        <v>13</v>
      </c>
    </row>
    <row r="39" spans="1:10">
      <c r="A39" s="4" t="s">
        <v>38</v>
      </c>
      <c r="B39" s="4" t="s">
        <v>5</v>
      </c>
      <c r="C39" s="4">
        <v>16.3</v>
      </c>
      <c r="D39" s="4">
        <v>9.5</v>
      </c>
      <c r="E39" s="4" t="s">
        <v>15</v>
      </c>
    </row>
    <row r="40" spans="1:10">
      <c r="A40" s="4" t="s">
        <v>238</v>
      </c>
      <c r="B40" s="4" t="s">
        <v>24</v>
      </c>
      <c r="C40" s="4">
        <v>15.6</v>
      </c>
      <c r="D40" s="4">
        <v>6.5</v>
      </c>
      <c r="E40" s="4" t="s">
        <v>15</v>
      </c>
    </row>
    <row r="41" spans="1:10">
      <c r="A41" s="4" t="s">
        <v>61</v>
      </c>
      <c r="B41" s="4" t="s">
        <v>2</v>
      </c>
      <c r="C41" s="4">
        <v>15</v>
      </c>
      <c r="D41" s="4">
        <v>6</v>
      </c>
      <c r="E41" s="4" t="s">
        <v>13</v>
      </c>
    </row>
    <row r="42" spans="1:10">
      <c r="A42" s="4" t="s">
        <v>249</v>
      </c>
      <c r="B42" s="4" t="s">
        <v>24</v>
      </c>
      <c r="C42" s="4">
        <v>14.6</v>
      </c>
      <c r="D42" s="4">
        <v>4.5</v>
      </c>
      <c r="E42" s="4" t="s">
        <v>14</v>
      </c>
    </row>
    <row r="43" spans="1:10">
      <c r="A43" s="4" t="s">
        <v>112</v>
      </c>
      <c r="B43" s="4" t="s">
        <v>1</v>
      </c>
      <c r="C43" s="4">
        <v>14.5</v>
      </c>
      <c r="D43" s="4">
        <v>6</v>
      </c>
      <c r="E43" s="4" t="s">
        <v>14</v>
      </c>
    </row>
    <row r="44" spans="1:10">
      <c r="A44" s="4" t="s">
        <v>232</v>
      </c>
      <c r="B44" s="4" t="s">
        <v>25</v>
      </c>
      <c r="C44" s="4">
        <v>14.1</v>
      </c>
      <c r="D44" s="4">
        <v>9</v>
      </c>
      <c r="E44" s="4" t="s">
        <v>15</v>
      </c>
    </row>
    <row r="45" spans="1:10">
      <c r="A45" s="4" t="s">
        <v>131</v>
      </c>
      <c r="B45" s="4" t="s">
        <v>9</v>
      </c>
      <c r="C45" s="4">
        <v>13.2</v>
      </c>
      <c r="D45" s="4">
        <v>5.5</v>
      </c>
      <c r="E45" s="4" t="s">
        <v>13</v>
      </c>
    </row>
    <row r="46" spans="1:10">
      <c r="A46" s="4" t="s">
        <v>240</v>
      </c>
      <c r="B46" s="4" t="s">
        <v>6</v>
      </c>
      <c r="C46" s="4">
        <v>13.2</v>
      </c>
      <c r="D46" s="4">
        <v>7</v>
      </c>
      <c r="E46" s="4" t="s">
        <v>16</v>
      </c>
    </row>
    <row r="47" spans="1:10">
      <c r="A47" s="4" t="s">
        <v>315</v>
      </c>
      <c r="B47" s="4" t="s">
        <v>7</v>
      </c>
      <c r="C47" s="4">
        <v>13.1</v>
      </c>
      <c r="D47" s="4">
        <v>7</v>
      </c>
      <c r="E47" s="4" t="s">
        <v>15</v>
      </c>
    </row>
    <row r="48" spans="1:10">
      <c r="A48" s="4" t="s">
        <v>72</v>
      </c>
      <c r="B48" s="4" t="s">
        <v>25</v>
      </c>
      <c r="C48" s="4">
        <v>13.1</v>
      </c>
      <c r="D48" s="4">
        <v>5</v>
      </c>
      <c r="E48" s="4" t="s">
        <v>14</v>
      </c>
    </row>
    <row r="49" spans="1:5">
      <c r="A49" s="4" t="s">
        <v>206</v>
      </c>
      <c r="B49" s="4" t="s">
        <v>29</v>
      </c>
      <c r="C49" s="4">
        <v>12.6</v>
      </c>
      <c r="D49" s="4">
        <v>7</v>
      </c>
      <c r="E49" s="4" t="s">
        <v>15</v>
      </c>
    </row>
    <row r="50" spans="1:5">
      <c r="A50" s="4" t="s">
        <v>183</v>
      </c>
      <c r="B50" s="4" t="s">
        <v>8</v>
      </c>
      <c r="C50" s="4">
        <v>12.5</v>
      </c>
      <c r="D50" s="4">
        <v>7.5</v>
      </c>
      <c r="E50" s="4" t="s">
        <v>16</v>
      </c>
    </row>
    <row r="51" spans="1:5">
      <c r="A51" s="4" t="s">
        <v>316</v>
      </c>
      <c r="B51" s="4" t="s">
        <v>25</v>
      </c>
      <c r="C51" s="4">
        <v>12.4</v>
      </c>
      <c r="D51" s="4">
        <v>8</v>
      </c>
      <c r="E51" s="4" t="s">
        <v>16</v>
      </c>
    </row>
    <row r="52" spans="1:5">
      <c r="A52" s="4" t="s">
        <v>78</v>
      </c>
      <c r="B52" s="4" t="s">
        <v>9</v>
      </c>
      <c r="C52" s="4">
        <v>12.3</v>
      </c>
      <c r="D52" s="4">
        <v>5.5</v>
      </c>
      <c r="E52" s="4" t="s">
        <v>14</v>
      </c>
    </row>
    <row r="53" spans="1:5">
      <c r="A53" s="4" t="s">
        <v>140</v>
      </c>
      <c r="B53" s="4" t="s">
        <v>11</v>
      </c>
      <c r="C53" s="4">
        <v>11.9</v>
      </c>
      <c r="D53" s="4">
        <v>4.5</v>
      </c>
      <c r="E53" s="4" t="s">
        <v>15</v>
      </c>
    </row>
    <row r="54" spans="1:5">
      <c r="A54" s="4" t="s">
        <v>39</v>
      </c>
      <c r="B54" s="4" t="s">
        <v>4</v>
      </c>
      <c r="C54" s="4">
        <v>11.8</v>
      </c>
      <c r="D54" s="4">
        <v>6.5</v>
      </c>
      <c r="E54" s="4" t="s">
        <v>13</v>
      </c>
    </row>
    <row r="55" spans="1:5">
      <c r="A55" s="4" t="s">
        <v>102</v>
      </c>
      <c r="B55" s="4" t="s">
        <v>6</v>
      </c>
      <c r="C55" s="4">
        <v>11.7</v>
      </c>
      <c r="D55" s="4">
        <v>8.5</v>
      </c>
      <c r="E55" s="4" t="s">
        <v>15</v>
      </c>
    </row>
    <row r="56" spans="1:5">
      <c r="A56" s="4" t="s">
        <v>243</v>
      </c>
      <c r="B56" s="4" t="s">
        <v>24</v>
      </c>
      <c r="C56" s="4">
        <v>11.5</v>
      </c>
      <c r="D56" s="4">
        <v>5</v>
      </c>
      <c r="E56" s="4" t="s">
        <v>14</v>
      </c>
    </row>
    <row r="57" spans="1:5">
      <c r="A57" s="4" t="s">
        <v>50</v>
      </c>
      <c r="B57" s="4" t="s">
        <v>7</v>
      </c>
      <c r="C57" s="4">
        <v>11.3</v>
      </c>
      <c r="D57" s="4">
        <v>6</v>
      </c>
      <c r="E57" s="4" t="s">
        <v>14</v>
      </c>
    </row>
    <row r="58" spans="1:5">
      <c r="A58" s="4" t="s">
        <v>71</v>
      </c>
      <c r="B58" s="4" t="s">
        <v>0</v>
      </c>
      <c r="C58" s="4">
        <v>10.7</v>
      </c>
      <c r="D58" s="4">
        <v>6.5</v>
      </c>
      <c r="E58" s="4" t="s">
        <v>13</v>
      </c>
    </row>
    <row r="59" spans="1:5">
      <c r="A59" s="4" t="s">
        <v>274</v>
      </c>
      <c r="B59" s="4" t="s">
        <v>30</v>
      </c>
      <c r="C59" s="4">
        <v>10.6</v>
      </c>
      <c r="D59" s="4">
        <v>4.5</v>
      </c>
      <c r="E59" s="4" t="s">
        <v>13</v>
      </c>
    </row>
    <row r="60" spans="1:5">
      <c r="A60" s="4" t="s">
        <v>43</v>
      </c>
      <c r="B60" s="4" t="s">
        <v>2</v>
      </c>
      <c r="C60" s="4">
        <v>10.3</v>
      </c>
      <c r="D60" s="4">
        <v>6.5</v>
      </c>
      <c r="E60" s="4" t="s">
        <v>14</v>
      </c>
    </row>
    <row r="61" spans="1:5">
      <c r="A61" s="4" t="s">
        <v>236</v>
      </c>
      <c r="B61" s="4" t="s">
        <v>5</v>
      </c>
      <c r="C61" s="4">
        <v>10</v>
      </c>
      <c r="D61" s="4">
        <v>10</v>
      </c>
      <c r="E61" s="4" t="s">
        <v>15</v>
      </c>
    </row>
    <row r="62" spans="1:5">
      <c r="A62" s="4" t="s">
        <v>33</v>
      </c>
      <c r="B62" s="4" t="s">
        <v>4</v>
      </c>
      <c r="C62" s="4">
        <v>9.4</v>
      </c>
      <c r="D62" s="4">
        <v>11</v>
      </c>
      <c r="E62" s="4" t="s">
        <v>16</v>
      </c>
    </row>
    <row r="63" spans="1:5">
      <c r="A63" s="4" t="s">
        <v>208</v>
      </c>
      <c r="B63" s="4" t="s">
        <v>30</v>
      </c>
      <c r="C63" s="4">
        <v>9.4</v>
      </c>
      <c r="D63" s="4">
        <v>4.5</v>
      </c>
      <c r="E63" s="4" t="s">
        <v>14</v>
      </c>
    </row>
    <row r="64" spans="1:5">
      <c r="A64" s="4" t="s">
        <v>120</v>
      </c>
      <c r="B64" s="4" t="s">
        <v>3</v>
      </c>
      <c r="C64" s="4">
        <v>9.4</v>
      </c>
      <c r="D64" s="4">
        <v>4</v>
      </c>
      <c r="E64" s="4" t="s">
        <v>13</v>
      </c>
    </row>
    <row r="65" spans="1:5">
      <c r="A65" s="4" t="s">
        <v>145</v>
      </c>
      <c r="B65" s="4" t="s">
        <v>25</v>
      </c>
      <c r="C65" s="4">
        <v>9.3000000000000007</v>
      </c>
      <c r="D65" s="4">
        <v>5.5</v>
      </c>
      <c r="E65" s="4" t="s">
        <v>15</v>
      </c>
    </row>
    <row r="66" spans="1:5">
      <c r="A66" s="4" t="s">
        <v>121</v>
      </c>
      <c r="B66" s="4" t="s">
        <v>1</v>
      </c>
      <c r="C66" s="4">
        <v>9</v>
      </c>
      <c r="D66" s="4">
        <v>6</v>
      </c>
      <c r="E66" s="4" t="s">
        <v>14</v>
      </c>
    </row>
    <row r="67" spans="1:5">
      <c r="A67" s="4" t="s">
        <v>280</v>
      </c>
      <c r="B67" s="4" t="s">
        <v>5</v>
      </c>
      <c r="C67" s="4">
        <v>8.9</v>
      </c>
      <c r="D67" s="4">
        <v>6.5</v>
      </c>
      <c r="E67" s="4" t="s">
        <v>15</v>
      </c>
    </row>
    <row r="68" spans="1:5">
      <c r="A68" s="4" t="s">
        <v>68</v>
      </c>
      <c r="B68" s="4" t="s">
        <v>5</v>
      </c>
      <c r="C68" s="4">
        <v>8.8000000000000007</v>
      </c>
      <c r="D68" s="4">
        <v>7</v>
      </c>
      <c r="E68" s="4" t="s">
        <v>15</v>
      </c>
    </row>
    <row r="69" spans="1:5">
      <c r="A69" s="4" t="s">
        <v>219</v>
      </c>
      <c r="B69" s="4" t="s">
        <v>5</v>
      </c>
      <c r="C69" s="4">
        <v>8.4</v>
      </c>
      <c r="D69" s="4">
        <v>8.5</v>
      </c>
      <c r="E69" s="4" t="s">
        <v>16</v>
      </c>
    </row>
    <row r="70" spans="1:5">
      <c r="A70" s="4" t="s">
        <v>239</v>
      </c>
      <c r="B70" s="4" t="s">
        <v>29</v>
      </c>
      <c r="C70" s="4">
        <v>8.4</v>
      </c>
      <c r="D70" s="4">
        <v>5.5</v>
      </c>
      <c r="E70" s="4" t="s">
        <v>13</v>
      </c>
    </row>
    <row r="71" spans="1:5">
      <c r="A71" s="4" t="s">
        <v>44</v>
      </c>
      <c r="B71" s="4" t="s">
        <v>25</v>
      </c>
      <c r="C71" s="4">
        <v>8.4</v>
      </c>
      <c r="D71" s="4">
        <v>5</v>
      </c>
      <c r="E71" s="4" t="s">
        <v>13</v>
      </c>
    </row>
    <row r="72" spans="1:5">
      <c r="A72" s="4" t="s">
        <v>317</v>
      </c>
      <c r="B72" s="4" t="s">
        <v>30</v>
      </c>
      <c r="C72" s="4">
        <v>8.4</v>
      </c>
      <c r="D72" s="4">
        <v>5</v>
      </c>
      <c r="E72" s="4" t="s">
        <v>15</v>
      </c>
    </row>
    <row r="73" spans="1:5">
      <c r="A73" s="4" t="s">
        <v>207</v>
      </c>
      <c r="B73" s="4" t="s">
        <v>7</v>
      </c>
      <c r="C73" s="4">
        <v>8.1999999999999993</v>
      </c>
      <c r="D73" s="4">
        <v>7</v>
      </c>
      <c r="E73" s="4" t="s">
        <v>14</v>
      </c>
    </row>
    <row r="74" spans="1:5">
      <c r="A74" s="4" t="s">
        <v>149</v>
      </c>
      <c r="B74" s="4" t="s">
        <v>233</v>
      </c>
      <c r="C74" s="4">
        <v>8.1</v>
      </c>
      <c r="D74" s="4">
        <v>5.5</v>
      </c>
      <c r="E74" s="4" t="s">
        <v>15</v>
      </c>
    </row>
    <row r="75" spans="1:5">
      <c r="A75" s="4" t="s">
        <v>250</v>
      </c>
      <c r="B75" s="4" t="s">
        <v>0</v>
      </c>
      <c r="C75" s="4">
        <v>7.9</v>
      </c>
      <c r="D75" s="4">
        <v>6</v>
      </c>
      <c r="E75" s="4" t="s">
        <v>14</v>
      </c>
    </row>
    <row r="76" spans="1:5">
      <c r="A76" s="4" t="s">
        <v>82</v>
      </c>
      <c r="B76" s="4" t="s">
        <v>1</v>
      </c>
      <c r="C76" s="4">
        <v>7.8</v>
      </c>
      <c r="D76" s="4">
        <v>6</v>
      </c>
      <c r="E76" s="4" t="s">
        <v>14</v>
      </c>
    </row>
    <row r="77" spans="1:5">
      <c r="A77" s="4" t="s">
        <v>132</v>
      </c>
      <c r="B77" s="4" t="s">
        <v>29</v>
      </c>
      <c r="C77" s="4">
        <v>7.7</v>
      </c>
      <c r="D77" s="4">
        <v>4.5</v>
      </c>
      <c r="E77" s="4" t="s">
        <v>14</v>
      </c>
    </row>
    <row r="78" spans="1:5">
      <c r="A78" s="4" t="s">
        <v>292</v>
      </c>
      <c r="B78" s="4" t="s">
        <v>24</v>
      </c>
      <c r="C78" s="4">
        <v>7.7</v>
      </c>
      <c r="D78" s="4">
        <v>4</v>
      </c>
      <c r="E78" s="4" t="s">
        <v>14</v>
      </c>
    </row>
    <row r="79" spans="1:5">
      <c r="A79" s="4" t="s">
        <v>54</v>
      </c>
      <c r="B79" s="4" t="s">
        <v>4</v>
      </c>
      <c r="C79" s="4">
        <v>7.5</v>
      </c>
      <c r="D79" s="4">
        <v>8.5</v>
      </c>
      <c r="E79" s="4" t="s">
        <v>15</v>
      </c>
    </row>
    <row r="80" spans="1:5">
      <c r="A80" s="4" t="s">
        <v>56</v>
      </c>
      <c r="B80" s="4" t="s">
        <v>0</v>
      </c>
      <c r="C80" s="4">
        <v>7.3</v>
      </c>
      <c r="D80" s="4">
        <v>8</v>
      </c>
      <c r="E80" s="4" t="s">
        <v>15</v>
      </c>
    </row>
    <row r="81" spans="1:5">
      <c r="A81" s="4" t="s">
        <v>48</v>
      </c>
      <c r="B81" s="4" t="s">
        <v>4</v>
      </c>
      <c r="C81" s="4">
        <v>7.2</v>
      </c>
      <c r="D81" s="4">
        <v>6.5</v>
      </c>
      <c r="E81" s="4" t="s">
        <v>14</v>
      </c>
    </row>
    <row r="82" spans="1:5">
      <c r="A82" s="4" t="s">
        <v>106</v>
      </c>
      <c r="B82" s="4" t="s">
        <v>5</v>
      </c>
      <c r="C82" s="4">
        <v>7.1</v>
      </c>
      <c r="D82" s="4">
        <v>5.5</v>
      </c>
      <c r="E82" s="4" t="s">
        <v>14</v>
      </c>
    </row>
    <row r="83" spans="1:5">
      <c r="A83" s="4" t="s">
        <v>253</v>
      </c>
      <c r="B83" s="4" t="s">
        <v>7</v>
      </c>
      <c r="C83" s="4">
        <v>7.1</v>
      </c>
      <c r="D83" s="4">
        <v>6</v>
      </c>
      <c r="E83" s="4" t="s">
        <v>13</v>
      </c>
    </row>
    <row r="84" spans="1:5">
      <c r="A84" s="4" t="s">
        <v>272</v>
      </c>
      <c r="B84" s="4" t="s">
        <v>30</v>
      </c>
      <c r="C84" s="4">
        <v>7.1</v>
      </c>
      <c r="D84" s="4">
        <v>4.5</v>
      </c>
      <c r="E84" s="4" t="s">
        <v>14</v>
      </c>
    </row>
    <row r="85" spans="1:5">
      <c r="A85" s="4" t="s">
        <v>118</v>
      </c>
      <c r="B85" s="4" t="s">
        <v>2</v>
      </c>
      <c r="C85" s="4">
        <v>6.9</v>
      </c>
      <c r="D85" s="4">
        <v>6</v>
      </c>
      <c r="E85" s="4" t="s">
        <v>15</v>
      </c>
    </row>
    <row r="86" spans="1:5">
      <c r="A86" s="4" t="s">
        <v>296</v>
      </c>
      <c r="B86" s="4" t="s">
        <v>11</v>
      </c>
      <c r="C86" s="4">
        <v>6.7</v>
      </c>
      <c r="D86" s="4">
        <v>4.5</v>
      </c>
      <c r="E86" s="4" t="s">
        <v>13</v>
      </c>
    </row>
    <row r="87" spans="1:5">
      <c r="A87" s="4" t="s">
        <v>318</v>
      </c>
      <c r="B87" s="4" t="s">
        <v>4</v>
      </c>
      <c r="C87" s="4">
        <v>6.7</v>
      </c>
      <c r="D87" s="4">
        <v>9</v>
      </c>
      <c r="E87" s="4" t="s">
        <v>15</v>
      </c>
    </row>
    <row r="88" spans="1:5">
      <c r="A88" s="4" t="s">
        <v>59</v>
      </c>
      <c r="B88" s="4" t="s">
        <v>4</v>
      </c>
      <c r="C88" s="4">
        <v>6.5</v>
      </c>
      <c r="D88" s="4">
        <v>7.5</v>
      </c>
      <c r="E88" s="4" t="s">
        <v>16</v>
      </c>
    </row>
    <row r="89" spans="1:5">
      <c r="A89" s="4" t="s">
        <v>144</v>
      </c>
      <c r="B89" s="4" t="s">
        <v>6</v>
      </c>
      <c r="C89" s="4">
        <v>6.5</v>
      </c>
      <c r="D89" s="4">
        <v>7</v>
      </c>
      <c r="E89" s="4" t="s">
        <v>15</v>
      </c>
    </row>
    <row r="90" spans="1:5">
      <c r="A90" s="4" t="s">
        <v>42</v>
      </c>
      <c r="B90" s="4" t="s">
        <v>11</v>
      </c>
      <c r="C90" s="4">
        <v>6.5</v>
      </c>
      <c r="D90" s="4">
        <v>7</v>
      </c>
      <c r="E90" s="4" t="s">
        <v>15</v>
      </c>
    </row>
    <row r="91" spans="1:5">
      <c r="A91" s="4" t="s">
        <v>242</v>
      </c>
      <c r="B91" s="4" t="s">
        <v>25</v>
      </c>
      <c r="C91" s="4">
        <v>6.4</v>
      </c>
      <c r="D91" s="4">
        <v>6</v>
      </c>
      <c r="E91" s="4" t="s">
        <v>15</v>
      </c>
    </row>
    <row r="92" spans="1:5">
      <c r="A92" s="4" t="s">
        <v>319</v>
      </c>
      <c r="B92" s="4" t="s">
        <v>24</v>
      </c>
      <c r="C92" s="4">
        <v>6.1</v>
      </c>
      <c r="D92" s="4">
        <v>7</v>
      </c>
      <c r="E92" s="4" t="s">
        <v>16</v>
      </c>
    </row>
    <row r="93" spans="1:5">
      <c r="A93" s="4" t="s">
        <v>77</v>
      </c>
      <c r="B93" s="4" t="s">
        <v>4</v>
      </c>
      <c r="C93" s="4">
        <v>6</v>
      </c>
      <c r="D93" s="4">
        <v>6</v>
      </c>
      <c r="E93" s="4" t="s">
        <v>14</v>
      </c>
    </row>
    <row r="94" spans="1:5">
      <c r="A94" s="4" t="s">
        <v>49</v>
      </c>
      <c r="B94" s="4" t="s">
        <v>12</v>
      </c>
      <c r="C94" s="4">
        <v>5.9</v>
      </c>
      <c r="D94" s="4">
        <v>5</v>
      </c>
      <c r="E94" s="4" t="s">
        <v>13</v>
      </c>
    </row>
    <row r="95" spans="1:5">
      <c r="A95" s="4" t="s">
        <v>151</v>
      </c>
      <c r="B95" s="4" t="s">
        <v>1</v>
      </c>
      <c r="C95" s="4">
        <v>5.9</v>
      </c>
      <c r="D95" s="4">
        <v>9</v>
      </c>
      <c r="E95" s="4" t="s">
        <v>15</v>
      </c>
    </row>
    <row r="96" spans="1:5">
      <c r="A96" s="4" t="s">
        <v>320</v>
      </c>
      <c r="B96" s="4" t="s">
        <v>2</v>
      </c>
      <c r="C96" s="4">
        <v>5.8</v>
      </c>
      <c r="D96" s="4">
        <v>6.5</v>
      </c>
      <c r="E96" s="4" t="s">
        <v>15</v>
      </c>
    </row>
    <row r="97" spans="1:5">
      <c r="A97" s="4" t="s">
        <v>141</v>
      </c>
      <c r="B97" s="4" t="s">
        <v>0</v>
      </c>
      <c r="C97" s="4">
        <v>5.6</v>
      </c>
      <c r="D97" s="4">
        <v>6</v>
      </c>
      <c r="E97" s="4" t="s">
        <v>14</v>
      </c>
    </row>
    <row r="98" spans="1:5">
      <c r="A98" s="4" t="s">
        <v>139</v>
      </c>
      <c r="B98" s="4" t="s">
        <v>11</v>
      </c>
      <c r="C98" s="4">
        <v>5.6</v>
      </c>
      <c r="D98" s="4">
        <v>5</v>
      </c>
      <c r="E98" s="4" t="s">
        <v>14</v>
      </c>
    </row>
    <row r="99" spans="1:5">
      <c r="A99" s="4" t="s">
        <v>321</v>
      </c>
      <c r="B99" s="4" t="s">
        <v>233</v>
      </c>
      <c r="C99" s="4">
        <v>5.5</v>
      </c>
      <c r="D99" s="4">
        <v>4</v>
      </c>
      <c r="E99" s="4" t="s">
        <v>14</v>
      </c>
    </row>
    <row r="100" spans="1:5">
      <c r="A100" s="4" t="s">
        <v>114</v>
      </c>
      <c r="B100" s="4" t="s">
        <v>12</v>
      </c>
      <c r="C100" s="4">
        <v>5.5</v>
      </c>
      <c r="D100" s="4">
        <v>6</v>
      </c>
      <c r="E100" s="4" t="s">
        <v>15</v>
      </c>
    </row>
    <row r="101" spans="1:5">
      <c r="A101" s="4" t="s">
        <v>37</v>
      </c>
      <c r="B101" s="4" t="s">
        <v>4</v>
      </c>
      <c r="C101" s="4">
        <v>5.5</v>
      </c>
      <c r="D101" s="4">
        <v>9</v>
      </c>
      <c r="E101" s="4" t="s">
        <v>15</v>
      </c>
    </row>
    <row r="102" spans="1:5">
      <c r="A102" s="4" t="s">
        <v>115</v>
      </c>
      <c r="B102" s="4" t="s">
        <v>10</v>
      </c>
      <c r="C102" s="4">
        <v>5.4</v>
      </c>
      <c r="D102" s="4">
        <v>7</v>
      </c>
      <c r="E102" s="4" t="s">
        <v>15</v>
      </c>
    </row>
    <row r="103" spans="1:5">
      <c r="A103" s="4" t="s">
        <v>192</v>
      </c>
      <c r="B103" s="4" t="s">
        <v>25</v>
      </c>
      <c r="C103" s="4">
        <v>5.4</v>
      </c>
      <c r="D103" s="4">
        <v>4.5</v>
      </c>
      <c r="E103" s="4" t="s">
        <v>16</v>
      </c>
    </row>
    <row r="104" spans="1:5">
      <c r="A104" s="4" t="s">
        <v>265</v>
      </c>
      <c r="B104" s="4" t="s">
        <v>6</v>
      </c>
      <c r="C104" s="4">
        <v>5.2</v>
      </c>
      <c r="D104" s="4">
        <v>5</v>
      </c>
      <c r="E104" s="4" t="s">
        <v>14</v>
      </c>
    </row>
    <row r="105" spans="1:5">
      <c r="A105" s="4" t="s">
        <v>112</v>
      </c>
      <c r="B105" s="4" t="s">
        <v>11</v>
      </c>
      <c r="C105" s="4">
        <v>5.2</v>
      </c>
      <c r="D105" s="4">
        <v>7</v>
      </c>
      <c r="E105" s="4" t="s">
        <v>15</v>
      </c>
    </row>
    <row r="106" spans="1:5">
      <c r="A106" s="4" t="s">
        <v>187</v>
      </c>
      <c r="B106" s="4" t="s">
        <v>1</v>
      </c>
      <c r="C106" s="4">
        <v>5.0999999999999996</v>
      </c>
      <c r="D106" s="4">
        <v>5</v>
      </c>
      <c r="E106" s="4" t="s">
        <v>14</v>
      </c>
    </row>
    <row r="107" spans="1:5">
      <c r="A107" s="4" t="s">
        <v>95</v>
      </c>
      <c r="B107" s="4" t="s">
        <v>2</v>
      </c>
      <c r="C107" s="4">
        <v>5</v>
      </c>
      <c r="D107" s="4">
        <v>6</v>
      </c>
      <c r="E107" s="4" t="s">
        <v>14</v>
      </c>
    </row>
    <row r="108" spans="1:5">
      <c r="A108" s="4" t="s">
        <v>261</v>
      </c>
      <c r="B108" s="4" t="s">
        <v>4</v>
      </c>
      <c r="C108" s="4">
        <v>5</v>
      </c>
      <c r="D108" s="4">
        <v>5.5</v>
      </c>
      <c r="E108" s="4" t="s">
        <v>14</v>
      </c>
    </row>
    <row r="109" spans="1:5">
      <c r="A109" s="4" t="s">
        <v>322</v>
      </c>
      <c r="B109" s="4" t="s">
        <v>8</v>
      </c>
      <c r="C109" s="4">
        <v>5</v>
      </c>
      <c r="D109" s="4">
        <v>5</v>
      </c>
      <c r="E109" s="4" t="s">
        <v>13</v>
      </c>
    </row>
    <row r="110" spans="1:5">
      <c r="A110" s="4" t="s">
        <v>55</v>
      </c>
      <c r="B110" s="4" t="s">
        <v>0</v>
      </c>
      <c r="C110" s="4">
        <v>4.9000000000000004</v>
      </c>
      <c r="D110" s="4">
        <v>6</v>
      </c>
      <c r="E110" s="4" t="s">
        <v>14</v>
      </c>
    </row>
    <row r="111" spans="1:5">
      <c r="A111" s="4" t="s">
        <v>203</v>
      </c>
      <c r="B111" s="4" t="s">
        <v>2</v>
      </c>
      <c r="C111" s="4">
        <v>4.8</v>
      </c>
      <c r="D111" s="4">
        <v>8</v>
      </c>
      <c r="E111" s="4" t="s">
        <v>15</v>
      </c>
    </row>
    <row r="112" spans="1:5">
      <c r="A112" s="4" t="s">
        <v>53</v>
      </c>
      <c r="B112" s="4" t="s">
        <v>5</v>
      </c>
      <c r="C112" s="4">
        <v>4.8</v>
      </c>
      <c r="D112" s="4">
        <v>5.5</v>
      </c>
      <c r="E112" s="4" t="s">
        <v>13</v>
      </c>
    </row>
    <row r="113" spans="1:5">
      <c r="A113" s="4" t="s">
        <v>227</v>
      </c>
      <c r="B113" s="4" t="s">
        <v>0</v>
      </c>
      <c r="C113" s="4">
        <v>4.7</v>
      </c>
      <c r="D113" s="4">
        <v>6.5</v>
      </c>
      <c r="E113" s="4" t="s">
        <v>14</v>
      </c>
    </row>
    <row r="114" spans="1:5">
      <c r="A114" s="4" t="s">
        <v>157</v>
      </c>
      <c r="B114" s="4" t="s">
        <v>6</v>
      </c>
      <c r="C114" s="4">
        <v>4.5999999999999996</v>
      </c>
      <c r="D114" s="4">
        <v>5</v>
      </c>
      <c r="E114" s="4" t="s">
        <v>14</v>
      </c>
    </row>
    <row r="115" spans="1:5">
      <c r="A115" s="4" t="s">
        <v>255</v>
      </c>
      <c r="B115" s="4" t="s">
        <v>6</v>
      </c>
      <c r="C115" s="4">
        <v>4.5999999999999996</v>
      </c>
      <c r="D115" s="4">
        <v>7.5</v>
      </c>
      <c r="E115" s="4" t="s">
        <v>15</v>
      </c>
    </row>
    <row r="116" spans="1:5">
      <c r="A116" s="4" t="s">
        <v>244</v>
      </c>
      <c r="B116" s="4" t="s">
        <v>30</v>
      </c>
      <c r="C116" s="4">
        <v>4.5999999999999996</v>
      </c>
      <c r="D116" s="4">
        <v>5.5</v>
      </c>
      <c r="E116" s="4" t="s">
        <v>15</v>
      </c>
    </row>
    <row r="117" spans="1:5">
      <c r="A117" s="4" t="s">
        <v>67</v>
      </c>
      <c r="B117" s="4" t="s">
        <v>10</v>
      </c>
      <c r="C117" s="4">
        <v>4.5</v>
      </c>
      <c r="D117" s="4">
        <v>6.5</v>
      </c>
      <c r="E117" s="4" t="s">
        <v>15</v>
      </c>
    </row>
    <row r="118" spans="1:5">
      <c r="A118" s="4" t="s">
        <v>136</v>
      </c>
      <c r="B118" s="4" t="s">
        <v>7</v>
      </c>
      <c r="C118" s="4">
        <v>4.5</v>
      </c>
      <c r="D118" s="4">
        <v>5.5</v>
      </c>
      <c r="E118" s="4" t="s">
        <v>15</v>
      </c>
    </row>
    <row r="119" spans="1:5">
      <c r="A119" s="4" t="s">
        <v>323</v>
      </c>
      <c r="B119" s="4" t="s">
        <v>11</v>
      </c>
      <c r="C119" s="4">
        <v>4.5</v>
      </c>
      <c r="D119" s="4">
        <v>7</v>
      </c>
      <c r="E119" s="4" t="s">
        <v>15</v>
      </c>
    </row>
    <row r="120" spans="1:5">
      <c r="A120" s="4" t="s">
        <v>119</v>
      </c>
      <c r="B120" s="4" t="s">
        <v>12</v>
      </c>
      <c r="C120" s="4">
        <v>4.5</v>
      </c>
      <c r="D120" s="4">
        <v>6.5</v>
      </c>
      <c r="E120" s="4" t="s">
        <v>16</v>
      </c>
    </row>
    <row r="121" spans="1:5">
      <c r="A121" s="4" t="s">
        <v>66</v>
      </c>
      <c r="B121" s="4" t="s">
        <v>9</v>
      </c>
      <c r="C121" s="4">
        <v>4.3</v>
      </c>
      <c r="D121" s="4">
        <v>6</v>
      </c>
      <c r="E121" s="4" t="s">
        <v>16</v>
      </c>
    </row>
    <row r="122" spans="1:5">
      <c r="A122" s="4" t="s">
        <v>222</v>
      </c>
      <c r="B122" s="4" t="s">
        <v>7</v>
      </c>
      <c r="C122" s="4">
        <v>4.3</v>
      </c>
      <c r="D122" s="4">
        <v>5</v>
      </c>
      <c r="E122" s="4" t="s">
        <v>14</v>
      </c>
    </row>
    <row r="123" spans="1:5">
      <c r="A123" s="4" t="s">
        <v>252</v>
      </c>
      <c r="B123" s="4" t="s">
        <v>2</v>
      </c>
      <c r="C123" s="4">
        <v>4.2</v>
      </c>
      <c r="D123" s="4">
        <v>5.5</v>
      </c>
      <c r="E123" s="4" t="s">
        <v>14</v>
      </c>
    </row>
    <row r="124" spans="1:5">
      <c r="A124" s="4" t="s">
        <v>204</v>
      </c>
      <c r="B124" s="4" t="s">
        <v>5</v>
      </c>
      <c r="C124" s="4">
        <v>4.2</v>
      </c>
      <c r="D124" s="4">
        <v>8.5</v>
      </c>
      <c r="E124" s="4" t="s">
        <v>16</v>
      </c>
    </row>
    <row r="125" spans="1:5">
      <c r="A125" s="4" t="s">
        <v>248</v>
      </c>
      <c r="B125" s="4" t="s">
        <v>3</v>
      </c>
      <c r="C125" s="4">
        <v>4.0999999999999996</v>
      </c>
      <c r="D125" s="4">
        <v>5</v>
      </c>
      <c r="E125" s="4" t="s">
        <v>13</v>
      </c>
    </row>
    <row r="126" spans="1:5">
      <c r="A126" s="4" t="s">
        <v>247</v>
      </c>
      <c r="B126" s="4" t="s">
        <v>30</v>
      </c>
      <c r="C126" s="4">
        <v>4.0999999999999996</v>
      </c>
      <c r="D126" s="4">
        <v>5.5</v>
      </c>
      <c r="E126" s="4" t="s">
        <v>15</v>
      </c>
    </row>
    <row r="127" spans="1:5">
      <c r="A127" s="4" t="s">
        <v>169</v>
      </c>
      <c r="B127" s="4" t="s">
        <v>29</v>
      </c>
      <c r="C127" s="4">
        <v>4</v>
      </c>
      <c r="D127" s="4">
        <v>5</v>
      </c>
      <c r="E127" s="4" t="s">
        <v>15</v>
      </c>
    </row>
    <row r="128" spans="1:5">
      <c r="A128" s="4" t="s">
        <v>262</v>
      </c>
      <c r="B128" s="4" t="s">
        <v>1</v>
      </c>
      <c r="C128" s="4">
        <v>3.9</v>
      </c>
      <c r="D128" s="4">
        <v>5.5</v>
      </c>
      <c r="E128" s="4" t="s">
        <v>15</v>
      </c>
    </row>
    <row r="129" spans="1:12">
      <c r="A129" s="4" t="s">
        <v>123</v>
      </c>
      <c r="B129" s="4" t="s">
        <v>0</v>
      </c>
      <c r="C129" s="4">
        <v>3.9</v>
      </c>
      <c r="D129" s="4">
        <v>9</v>
      </c>
      <c r="E129" s="4" t="s">
        <v>16</v>
      </c>
    </row>
    <row r="130" spans="1:12">
      <c r="A130" s="4" t="s">
        <v>52</v>
      </c>
      <c r="B130" s="4" t="s">
        <v>9</v>
      </c>
      <c r="C130" s="4">
        <v>3.9</v>
      </c>
      <c r="D130" s="4">
        <v>6.5</v>
      </c>
      <c r="E130" s="4" t="s">
        <v>15</v>
      </c>
    </row>
    <row r="131" spans="1:12">
      <c r="A131" s="4" t="s">
        <v>218</v>
      </c>
      <c r="B131" s="4" t="s">
        <v>1</v>
      </c>
      <c r="C131" s="4">
        <v>3.7</v>
      </c>
      <c r="D131" s="4">
        <v>4.5</v>
      </c>
      <c r="E131" s="4" t="s">
        <v>15</v>
      </c>
    </row>
    <row r="132" spans="1:12">
      <c r="A132" s="4" t="s">
        <v>324</v>
      </c>
      <c r="B132" s="4" t="s">
        <v>4</v>
      </c>
      <c r="C132" s="4">
        <v>3.7</v>
      </c>
      <c r="D132" s="4">
        <v>9.5</v>
      </c>
      <c r="E132" s="4" t="s">
        <v>16</v>
      </c>
    </row>
    <row r="133" spans="1:12">
      <c r="A133" s="4" t="s">
        <v>215</v>
      </c>
      <c r="B133" s="4" t="s">
        <v>5</v>
      </c>
      <c r="C133" s="4">
        <v>3.6</v>
      </c>
      <c r="D133" s="4">
        <v>7</v>
      </c>
      <c r="E133" s="4" t="s">
        <v>15</v>
      </c>
    </row>
    <row r="134" spans="1:12">
      <c r="A134" s="4" t="s">
        <v>47</v>
      </c>
      <c r="B134" s="4" t="s">
        <v>6</v>
      </c>
      <c r="C134" s="4">
        <v>3.6</v>
      </c>
      <c r="D134" s="4">
        <v>5.5</v>
      </c>
      <c r="E134" s="4" t="s">
        <v>13</v>
      </c>
    </row>
    <row r="135" spans="1:12">
      <c r="A135" s="4" t="s">
        <v>325</v>
      </c>
      <c r="B135" s="4" t="s">
        <v>1</v>
      </c>
      <c r="C135" s="4">
        <v>3.5</v>
      </c>
      <c r="D135" s="4">
        <v>7</v>
      </c>
      <c r="E135" s="4" t="s">
        <v>16</v>
      </c>
    </row>
    <row r="136" spans="1:12">
      <c r="A136" s="4" t="s">
        <v>221</v>
      </c>
      <c r="B136" s="4" t="s">
        <v>29</v>
      </c>
      <c r="C136" s="4">
        <v>3.5</v>
      </c>
      <c r="D136" s="4">
        <v>5.5</v>
      </c>
      <c r="E136" s="4" t="s">
        <v>14</v>
      </c>
    </row>
    <row r="137" spans="1:12">
      <c r="A137" s="4" t="s">
        <v>246</v>
      </c>
      <c r="B137" s="4" t="s">
        <v>30</v>
      </c>
      <c r="C137" s="4">
        <v>3.5</v>
      </c>
      <c r="D137" s="4">
        <v>6</v>
      </c>
      <c r="E137" s="4" t="s">
        <v>16</v>
      </c>
      <c r="I137" s="5"/>
      <c r="J137" s="5"/>
      <c r="L137" s="5"/>
    </row>
    <row r="138" spans="1:12">
      <c r="A138" s="4" t="s">
        <v>146</v>
      </c>
      <c r="B138" s="4" t="s">
        <v>25</v>
      </c>
      <c r="C138" s="4">
        <v>3.4</v>
      </c>
      <c r="D138" s="4">
        <v>4.5</v>
      </c>
      <c r="E138" s="4" t="s">
        <v>15</v>
      </c>
    </row>
    <row r="139" spans="1:12">
      <c r="A139" s="4" t="s">
        <v>129</v>
      </c>
      <c r="B139" s="4" t="s">
        <v>235</v>
      </c>
      <c r="C139" s="4">
        <v>3.4</v>
      </c>
      <c r="D139" s="4">
        <v>4.5</v>
      </c>
      <c r="E139" s="4" t="s">
        <v>14</v>
      </c>
    </row>
    <row r="140" spans="1:12">
      <c r="A140" s="4" t="s">
        <v>98</v>
      </c>
      <c r="B140" s="4" t="s">
        <v>0</v>
      </c>
      <c r="C140" s="4">
        <v>3.3</v>
      </c>
      <c r="D140" s="4">
        <v>6.5</v>
      </c>
      <c r="E140" s="4" t="s">
        <v>15</v>
      </c>
    </row>
    <row r="141" spans="1:12">
      <c r="A141" s="4" t="s">
        <v>167</v>
      </c>
      <c r="B141" s="4" t="s">
        <v>5</v>
      </c>
      <c r="C141" s="4">
        <v>3.2</v>
      </c>
      <c r="D141" s="4">
        <v>5.5</v>
      </c>
      <c r="E141" s="4" t="s">
        <v>14</v>
      </c>
    </row>
    <row r="142" spans="1:12">
      <c r="A142" s="4" t="s">
        <v>36</v>
      </c>
      <c r="B142" s="4" t="s">
        <v>7</v>
      </c>
      <c r="C142" s="4">
        <v>3.1</v>
      </c>
      <c r="D142" s="4">
        <v>8</v>
      </c>
      <c r="E142" s="4" t="s">
        <v>16</v>
      </c>
    </row>
    <row r="143" spans="1:12">
      <c r="A143" s="4" t="s">
        <v>57</v>
      </c>
      <c r="B143" s="4" t="s">
        <v>235</v>
      </c>
      <c r="C143" s="4">
        <v>3.1</v>
      </c>
      <c r="D143" s="4">
        <v>5.5</v>
      </c>
      <c r="E143" s="4" t="s">
        <v>16</v>
      </c>
    </row>
    <row r="144" spans="1:12">
      <c r="A144" s="4" t="s">
        <v>220</v>
      </c>
      <c r="B144" s="4" t="s">
        <v>0</v>
      </c>
      <c r="C144" s="4">
        <v>3.1</v>
      </c>
      <c r="D144" s="4">
        <v>8.5</v>
      </c>
      <c r="E144" s="4" t="s">
        <v>15</v>
      </c>
    </row>
    <row r="145" spans="1:10">
      <c r="A145" s="4" t="s">
        <v>176</v>
      </c>
      <c r="B145" s="4" t="s">
        <v>29</v>
      </c>
      <c r="C145" s="4">
        <v>3.1</v>
      </c>
      <c r="D145" s="4">
        <v>5</v>
      </c>
      <c r="E145" s="4" t="s">
        <v>14</v>
      </c>
    </row>
    <row r="146" spans="1:10">
      <c r="A146" s="4" t="s">
        <v>99</v>
      </c>
      <c r="B146" s="4" t="s">
        <v>2</v>
      </c>
      <c r="C146" s="4">
        <v>3</v>
      </c>
      <c r="D146" s="4">
        <v>7.5</v>
      </c>
      <c r="E146" s="4" t="s">
        <v>16</v>
      </c>
    </row>
    <row r="147" spans="1:10">
      <c r="A147" s="4" t="s">
        <v>326</v>
      </c>
      <c r="B147" s="4" t="s">
        <v>233</v>
      </c>
      <c r="C147" s="4">
        <v>3</v>
      </c>
      <c r="D147" s="4">
        <v>4.5</v>
      </c>
      <c r="E147" s="4" t="s">
        <v>13</v>
      </c>
    </row>
    <row r="148" spans="1:10">
      <c r="A148" s="4" t="s">
        <v>108</v>
      </c>
      <c r="B148" s="4" t="s">
        <v>25</v>
      </c>
      <c r="C148" s="4">
        <v>3</v>
      </c>
      <c r="D148" s="4">
        <v>5.5</v>
      </c>
      <c r="E148" s="4" t="s">
        <v>14</v>
      </c>
    </row>
    <row r="149" spans="1:10">
      <c r="A149" s="4" t="s">
        <v>40</v>
      </c>
      <c r="B149" s="4" t="s">
        <v>0</v>
      </c>
      <c r="C149" s="4">
        <v>2.9</v>
      </c>
      <c r="D149" s="4">
        <v>8.5</v>
      </c>
      <c r="E149" s="4" t="s">
        <v>16</v>
      </c>
    </row>
    <row r="150" spans="1:10">
      <c r="A150" s="4" t="s">
        <v>93</v>
      </c>
      <c r="B150" s="4" t="s">
        <v>2</v>
      </c>
      <c r="C150" s="4">
        <v>2.9</v>
      </c>
      <c r="D150" s="4">
        <v>5.5</v>
      </c>
      <c r="E150" s="4" t="s">
        <v>14</v>
      </c>
    </row>
    <row r="151" spans="1:10">
      <c r="A151" s="4" t="s">
        <v>327</v>
      </c>
      <c r="B151" s="4" t="s">
        <v>24</v>
      </c>
      <c r="C151" s="4">
        <v>2.9</v>
      </c>
      <c r="D151" s="4">
        <v>4</v>
      </c>
      <c r="E151" s="4" t="s">
        <v>14</v>
      </c>
    </row>
    <row r="152" spans="1:10">
      <c r="A152" s="4" t="s">
        <v>191</v>
      </c>
      <c r="B152" s="4" t="s">
        <v>3</v>
      </c>
      <c r="C152" s="4">
        <v>2.9</v>
      </c>
      <c r="D152" s="4">
        <v>6</v>
      </c>
      <c r="E152" s="4" t="s">
        <v>16</v>
      </c>
      <c r="G152" s="5"/>
      <c r="H152" s="5"/>
      <c r="I152" s="5"/>
      <c r="J152" s="5"/>
    </row>
    <row r="153" spans="1:10">
      <c r="A153" s="4" t="s">
        <v>185</v>
      </c>
      <c r="B153" s="4" t="s">
        <v>6</v>
      </c>
      <c r="C153" s="4">
        <v>2.8</v>
      </c>
      <c r="D153" s="4">
        <v>5.5</v>
      </c>
      <c r="E153" s="4" t="s">
        <v>16</v>
      </c>
      <c r="G153" s="5"/>
      <c r="H153" s="5"/>
      <c r="I153" s="5"/>
      <c r="J153" s="5"/>
    </row>
    <row r="154" spans="1:10">
      <c r="A154" s="4" t="s">
        <v>328</v>
      </c>
      <c r="B154" s="4" t="s">
        <v>6</v>
      </c>
      <c r="C154" s="4">
        <v>2.8</v>
      </c>
      <c r="D154" s="4">
        <v>6</v>
      </c>
      <c r="E154" s="4" t="s">
        <v>16</v>
      </c>
      <c r="G154" s="5"/>
      <c r="H154" s="5"/>
      <c r="I154" s="5"/>
      <c r="J154" s="5"/>
    </row>
    <row r="155" spans="1:10">
      <c r="A155" s="4" t="s">
        <v>112</v>
      </c>
      <c r="B155" s="4" t="s">
        <v>24</v>
      </c>
      <c r="C155" s="4">
        <v>2.8</v>
      </c>
      <c r="D155" s="4">
        <v>5</v>
      </c>
      <c r="E155" s="4" t="s">
        <v>15</v>
      </c>
      <c r="G155" s="5"/>
      <c r="H155" s="5"/>
      <c r="I155" s="5"/>
      <c r="J155" s="5"/>
    </row>
    <row r="156" spans="1:10">
      <c r="A156" s="4" t="s">
        <v>117</v>
      </c>
      <c r="B156" s="4" t="s">
        <v>24</v>
      </c>
      <c r="C156" s="4">
        <v>2.8</v>
      </c>
      <c r="D156" s="4">
        <v>5</v>
      </c>
      <c r="E156" s="4" t="s">
        <v>13</v>
      </c>
      <c r="G156" s="5"/>
      <c r="H156" s="5"/>
      <c r="I156" s="5"/>
      <c r="J156" s="5"/>
    </row>
    <row r="157" spans="1:10">
      <c r="A157" s="4" t="s">
        <v>109</v>
      </c>
      <c r="B157" s="4" t="s">
        <v>7</v>
      </c>
      <c r="C157" s="4">
        <v>2.8</v>
      </c>
      <c r="D157" s="4">
        <v>7</v>
      </c>
      <c r="E157" s="4" t="s">
        <v>15</v>
      </c>
      <c r="G157" s="5"/>
      <c r="H157" s="5"/>
      <c r="I157" s="5"/>
      <c r="J157" s="5"/>
    </row>
    <row r="158" spans="1:10">
      <c r="A158" s="4" t="s">
        <v>329</v>
      </c>
      <c r="B158" s="4" t="s">
        <v>233</v>
      </c>
      <c r="C158" s="4">
        <v>2.8</v>
      </c>
      <c r="D158" s="4">
        <v>5</v>
      </c>
      <c r="E158" s="4" t="s">
        <v>15</v>
      </c>
      <c r="G158" s="5"/>
      <c r="H158" s="5"/>
      <c r="I158" s="5"/>
      <c r="J158" s="5"/>
    </row>
    <row r="159" spans="1:10">
      <c r="A159" s="4" t="s">
        <v>245</v>
      </c>
      <c r="B159" s="4" t="s">
        <v>8</v>
      </c>
      <c r="C159" s="4">
        <v>2.7</v>
      </c>
      <c r="D159" s="4">
        <v>5</v>
      </c>
      <c r="E159" s="4" t="s">
        <v>14</v>
      </c>
      <c r="G159" s="5"/>
      <c r="H159" s="5"/>
      <c r="I159" s="5"/>
      <c r="J159" s="5"/>
    </row>
    <row r="160" spans="1:10">
      <c r="A160" s="4" t="s">
        <v>330</v>
      </c>
      <c r="B160" s="4" t="s">
        <v>0</v>
      </c>
      <c r="C160" s="4">
        <v>2.7</v>
      </c>
      <c r="D160" s="4">
        <v>8</v>
      </c>
      <c r="E160" s="4" t="s">
        <v>15</v>
      </c>
      <c r="G160" s="5"/>
      <c r="H160" s="5"/>
      <c r="I160" s="5"/>
      <c r="J160" s="5"/>
    </row>
    <row r="161" spans="1:10">
      <c r="A161" s="4" t="s">
        <v>331</v>
      </c>
      <c r="B161" s="4" t="s">
        <v>234</v>
      </c>
      <c r="C161" s="4">
        <v>2.6</v>
      </c>
      <c r="D161" s="4">
        <v>4.5</v>
      </c>
      <c r="E161" s="4" t="s">
        <v>13</v>
      </c>
      <c r="G161" s="5"/>
      <c r="H161" s="5"/>
      <c r="I161" s="5"/>
      <c r="J161" s="5"/>
    </row>
    <row r="162" spans="1:10">
      <c r="A162" s="4" t="s">
        <v>228</v>
      </c>
      <c r="B162" s="4" t="s">
        <v>234</v>
      </c>
      <c r="C162" s="4">
        <v>2.6</v>
      </c>
      <c r="D162" s="4">
        <v>4</v>
      </c>
      <c r="E162" s="4" t="s">
        <v>14</v>
      </c>
      <c r="G162" s="5"/>
      <c r="H162" s="5"/>
      <c r="I162" s="5"/>
      <c r="J162" s="5"/>
    </row>
    <row r="163" spans="1:10">
      <c r="A163" s="4" t="s">
        <v>332</v>
      </c>
      <c r="B163" s="4" t="s">
        <v>0</v>
      </c>
      <c r="C163" s="4">
        <v>2.5</v>
      </c>
      <c r="D163" s="4">
        <v>7</v>
      </c>
      <c r="E163" s="4" t="s">
        <v>15</v>
      </c>
      <c r="G163" s="5"/>
      <c r="H163" s="5"/>
      <c r="I163" s="5"/>
      <c r="J163" s="5"/>
    </row>
    <row r="164" spans="1:10">
      <c r="A164" s="4" t="s">
        <v>216</v>
      </c>
      <c r="B164" s="4" t="s">
        <v>30</v>
      </c>
      <c r="C164" s="4">
        <v>2.5</v>
      </c>
      <c r="D164" s="4">
        <v>4</v>
      </c>
      <c r="E164" s="4" t="s">
        <v>13</v>
      </c>
      <c r="G164" s="5"/>
      <c r="H164" s="5"/>
      <c r="I164" s="5"/>
      <c r="J164" s="5"/>
    </row>
    <row r="165" spans="1:10">
      <c r="A165" s="4" t="s">
        <v>128</v>
      </c>
      <c r="B165" s="4" t="s">
        <v>7</v>
      </c>
      <c r="C165" s="4">
        <v>2.5</v>
      </c>
      <c r="D165" s="4">
        <v>7.5</v>
      </c>
      <c r="E165" s="4" t="s">
        <v>15</v>
      </c>
      <c r="G165" s="5"/>
      <c r="H165" s="5"/>
      <c r="I165" s="5"/>
      <c r="J165" s="5"/>
    </row>
    <row r="166" spans="1:10">
      <c r="A166" s="4" t="s">
        <v>94</v>
      </c>
      <c r="B166" s="4" t="s">
        <v>12</v>
      </c>
      <c r="C166" s="4">
        <v>2.5</v>
      </c>
      <c r="D166" s="4">
        <v>5.5</v>
      </c>
      <c r="E166" s="4" t="s">
        <v>14</v>
      </c>
      <c r="G166" s="5"/>
      <c r="H166" s="5"/>
      <c r="I166" s="5"/>
      <c r="J166" s="5"/>
    </row>
    <row r="167" spans="1:10">
      <c r="A167" s="4" t="s">
        <v>160</v>
      </c>
      <c r="B167" s="4" t="s">
        <v>234</v>
      </c>
      <c r="C167" s="4">
        <v>2.5</v>
      </c>
      <c r="D167" s="4">
        <v>4.5</v>
      </c>
      <c r="E167" s="4" t="s">
        <v>15</v>
      </c>
      <c r="G167" s="5"/>
      <c r="H167" s="5"/>
      <c r="I167" s="5"/>
      <c r="J167" s="5"/>
    </row>
    <row r="168" spans="1:10">
      <c r="A168" s="4" t="s">
        <v>171</v>
      </c>
      <c r="B168" s="4" t="s">
        <v>10</v>
      </c>
      <c r="C168" s="4">
        <v>2.5</v>
      </c>
      <c r="D168" s="4">
        <v>4.5</v>
      </c>
      <c r="E168" s="4" t="s">
        <v>15</v>
      </c>
      <c r="G168" s="5"/>
      <c r="H168" s="5"/>
      <c r="I168" s="5"/>
      <c r="J168" s="5"/>
    </row>
    <row r="169" spans="1:10">
      <c r="A169" s="4" t="s">
        <v>124</v>
      </c>
      <c r="B169" s="4" t="s">
        <v>7</v>
      </c>
      <c r="C169" s="4">
        <v>2.4</v>
      </c>
      <c r="D169" s="4">
        <v>8.5</v>
      </c>
      <c r="E169" s="4" t="s">
        <v>16</v>
      </c>
      <c r="G169" s="5"/>
      <c r="H169" s="5"/>
      <c r="I169" s="5"/>
      <c r="J169" s="5"/>
    </row>
    <row r="170" spans="1:10">
      <c r="A170" s="4" t="s">
        <v>110</v>
      </c>
      <c r="B170" s="4" t="s">
        <v>9</v>
      </c>
      <c r="C170" s="4">
        <v>2.4</v>
      </c>
      <c r="D170" s="4">
        <v>5.5</v>
      </c>
      <c r="E170" s="4" t="s">
        <v>14</v>
      </c>
      <c r="G170" s="5"/>
      <c r="H170" s="5"/>
      <c r="I170" s="5"/>
      <c r="J170" s="5"/>
    </row>
    <row r="171" spans="1:10">
      <c r="A171" s="4" t="s">
        <v>256</v>
      </c>
      <c r="B171" s="4" t="s">
        <v>3</v>
      </c>
      <c r="C171" s="4">
        <v>2.4</v>
      </c>
      <c r="D171" s="4">
        <v>5</v>
      </c>
      <c r="E171" s="4" t="s">
        <v>14</v>
      </c>
      <c r="G171" s="5"/>
      <c r="H171" s="5"/>
      <c r="I171" s="5"/>
      <c r="J171" s="5"/>
    </row>
    <row r="172" spans="1:10">
      <c r="A172" s="4" t="s">
        <v>166</v>
      </c>
      <c r="B172" s="4" t="s">
        <v>7</v>
      </c>
      <c r="C172" s="4">
        <v>2.4</v>
      </c>
      <c r="D172" s="4">
        <v>4.5</v>
      </c>
      <c r="E172" s="4" t="s">
        <v>15</v>
      </c>
      <c r="G172" s="5"/>
      <c r="H172" s="5"/>
      <c r="I172" s="5"/>
      <c r="J172" s="5"/>
    </row>
    <row r="173" spans="1:10">
      <c r="A173" s="4" t="s">
        <v>153</v>
      </c>
      <c r="B173" s="4" t="s">
        <v>233</v>
      </c>
      <c r="C173" s="4">
        <v>2.4</v>
      </c>
      <c r="D173" s="4">
        <v>4</v>
      </c>
      <c r="E173" s="4" t="s">
        <v>14</v>
      </c>
      <c r="G173" s="5"/>
      <c r="H173" s="5"/>
      <c r="I173" s="5"/>
      <c r="J173" s="5"/>
    </row>
    <row r="174" spans="1:10">
      <c r="A174" s="4" t="s">
        <v>333</v>
      </c>
      <c r="B174" s="4" t="s">
        <v>4</v>
      </c>
      <c r="C174" s="4">
        <v>2.2999999999999998</v>
      </c>
      <c r="D174" s="4">
        <v>8</v>
      </c>
      <c r="E174" s="4" t="s">
        <v>15</v>
      </c>
      <c r="G174" s="5"/>
      <c r="H174" s="5"/>
      <c r="I174" s="5"/>
      <c r="J174" s="5"/>
    </row>
    <row r="175" spans="1:10">
      <c r="A175" s="4" t="s">
        <v>334</v>
      </c>
      <c r="B175" s="4" t="s">
        <v>4</v>
      </c>
      <c r="C175" s="4">
        <v>2.2999999999999998</v>
      </c>
      <c r="D175" s="4">
        <v>9.5</v>
      </c>
      <c r="E175" s="4" t="s">
        <v>16</v>
      </c>
      <c r="G175" s="5"/>
      <c r="H175" s="5"/>
      <c r="I175" s="5"/>
      <c r="J175" s="5"/>
    </row>
    <row r="176" spans="1:10">
      <c r="A176" s="4" t="s">
        <v>34</v>
      </c>
      <c r="B176" s="4" t="s">
        <v>7</v>
      </c>
      <c r="C176" s="4">
        <v>2.2000000000000002</v>
      </c>
      <c r="D176" s="4">
        <v>7.5</v>
      </c>
      <c r="E176" s="4" t="s">
        <v>15</v>
      </c>
      <c r="G176" s="5"/>
      <c r="H176" s="5"/>
      <c r="I176" s="5"/>
      <c r="J176" s="5"/>
    </row>
    <row r="177" spans="1:10">
      <c r="A177" s="4" t="s">
        <v>161</v>
      </c>
      <c r="B177" s="4" t="s">
        <v>6</v>
      </c>
      <c r="C177" s="4">
        <v>2.2000000000000002</v>
      </c>
      <c r="D177" s="4">
        <v>7.5</v>
      </c>
      <c r="E177" s="4" t="s">
        <v>16</v>
      </c>
      <c r="G177" s="5"/>
      <c r="H177" s="5"/>
      <c r="I177" s="5"/>
      <c r="J177" s="5"/>
    </row>
    <row r="178" spans="1:10">
      <c r="A178" s="4" t="s">
        <v>32</v>
      </c>
      <c r="B178" s="4" t="s">
        <v>2</v>
      </c>
      <c r="C178" s="4">
        <v>2.2000000000000002</v>
      </c>
      <c r="D178" s="4">
        <v>10.5</v>
      </c>
      <c r="E178" s="4" t="s">
        <v>16</v>
      </c>
      <c r="G178" s="5"/>
      <c r="H178" s="5"/>
      <c r="I178" s="5"/>
      <c r="J178" s="5"/>
    </row>
    <row r="179" spans="1:10">
      <c r="A179" s="4" t="s">
        <v>159</v>
      </c>
      <c r="B179" s="4" t="s">
        <v>8</v>
      </c>
      <c r="C179" s="4">
        <v>2.2000000000000002</v>
      </c>
      <c r="D179" s="4">
        <v>6</v>
      </c>
      <c r="E179" s="4" t="s">
        <v>16</v>
      </c>
      <c r="G179" s="5"/>
      <c r="H179" s="5"/>
      <c r="I179" s="5"/>
      <c r="J179" s="5"/>
    </row>
    <row r="180" spans="1:10">
      <c r="A180" s="4" t="s">
        <v>153</v>
      </c>
      <c r="B180" s="4" t="s">
        <v>24</v>
      </c>
      <c r="C180" s="4">
        <v>2.2000000000000002</v>
      </c>
      <c r="D180" s="4">
        <v>4.5</v>
      </c>
      <c r="E180" s="4" t="s">
        <v>14</v>
      </c>
      <c r="G180" s="5"/>
      <c r="H180" s="5"/>
      <c r="I180" s="5"/>
      <c r="J180" s="5"/>
    </row>
    <row r="181" spans="1:10">
      <c r="A181" s="4" t="s">
        <v>335</v>
      </c>
      <c r="B181" s="4" t="s">
        <v>11</v>
      </c>
      <c r="C181" s="4">
        <v>2.1</v>
      </c>
      <c r="D181" s="4">
        <v>7</v>
      </c>
      <c r="E181" s="4" t="s">
        <v>16</v>
      </c>
      <c r="G181" s="5"/>
      <c r="H181" s="5"/>
      <c r="I181" s="5"/>
      <c r="J181" s="5"/>
    </row>
    <row r="182" spans="1:10">
      <c r="A182" s="4" t="s">
        <v>268</v>
      </c>
      <c r="B182" s="4" t="s">
        <v>6</v>
      </c>
      <c r="C182" s="4">
        <v>2.1</v>
      </c>
      <c r="D182" s="4">
        <v>5</v>
      </c>
      <c r="E182" s="4" t="s">
        <v>16</v>
      </c>
    </row>
    <row r="183" spans="1:10">
      <c r="A183" s="4" t="s">
        <v>87</v>
      </c>
      <c r="B183" s="4" t="s">
        <v>6</v>
      </c>
      <c r="C183" s="4">
        <v>2.1</v>
      </c>
      <c r="D183" s="4">
        <v>6.5</v>
      </c>
      <c r="E183" s="4" t="s">
        <v>15</v>
      </c>
    </row>
    <row r="184" spans="1:10">
      <c r="A184" s="4" t="s">
        <v>283</v>
      </c>
      <c r="B184" s="4" t="s">
        <v>3</v>
      </c>
      <c r="C184" s="4">
        <v>2.1</v>
      </c>
      <c r="D184" s="4">
        <v>4.5</v>
      </c>
      <c r="E184" s="4" t="s">
        <v>14</v>
      </c>
    </row>
    <row r="185" spans="1:10">
      <c r="A185" s="4" t="s">
        <v>336</v>
      </c>
      <c r="B185" s="4" t="s">
        <v>234</v>
      </c>
      <c r="C185" s="4">
        <v>2</v>
      </c>
      <c r="D185" s="4">
        <v>4</v>
      </c>
      <c r="E185" s="4" t="s">
        <v>14</v>
      </c>
    </row>
    <row r="186" spans="1:10">
      <c r="A186" s="4" t="s">
        <v>107</v>
      </c>
      <c r="B186" s="4" t="s">
        <v>8</v>
      </c>
      <c r="C186" s="4">
        <v>2</v>
      </c>
      <c r="D186" s="4">
        <v>5</v>
      </c>
      <c r="E186" s="4" t="s">
        <v>14</v>
      </c>
    </row>
    <row r="187" spans="1:10">
      <c r="A187" s="4" t="s">
        <v>337</v>
      </c>
      <c r="B187" s="4" t="s">
        <v>235</v>
      </c>
      <c r="C187" s="4">
        <v>2</v>
      </c>
      <c r="D187" s="4">
        <v>4</v>
      </c>
      <c r="E187" s="4" t="s">
        <v>13</v>
      </c>
    </row>
    <row r="188" spans="1:10">
      <c r="A188" s="4" t="s">
        <v>99</v>
      </c>
      <c r="B188" s="4" t="s">
        <v>25</v>
      </c>
      <c r="C188" s="4">
        <v>2</v>
      </c>
      <c r="D188" s="4">
        <v>6</v>
      </c>
      <c r="E188" s="4" t="s">
        <v>15</v>
      </c>
    </row>
    <row r="189" spans="1:10">
      <c r="A189" s="4" t="s">
        <v>338</v>
      </c>
      <c r="B189" s="4" t="s">
        <v>233</v>
      </c>
      <c r="C189" s="4">
        <v>2</v>
      </c>
      <c r="D189" s="4">
        <v>4</v>
      </c>
      <c r="E189" s="4" t="s">
        <v>13</v>
      </c>
    </row>
    <row r="190" spans="1:10">
      <c r="A190" s="4" t="s">
        <v>259</v>
      </c>
      <c r="B190" s="4" t="s">
        <v>30</v>
      </c>
      <c r="C190" s="4">
        <v>2</v>
      </c>
      <c r="D190" s="4">
        <v>6</v>
      </c>
      <c r="E190" s="4" t="s">
        <v>15</v>
      </c>
    </row>
    <row r="191" spans="1:10">
      <c r="A191" s="4" t="s">
        <v>133</v>
      </c>
      <c r="B191" s="4" t="s">
        <v>5</v>
      </c>
      <c r="C191" s="4">
        <v>2</v>
      </c>
      <c r="D191" s="4">
        <v>5.5</v>
      </c>
      <c r="E191" s="4" t="s">
        <v>14</v>
      </c>
    </row>
    <row r="192" spans="1:10">
      <c r="A192" s="4" t="s">
        <v>339</v>
      </c>
      <c r="B192" s="4" t="s">
        <v>10</v>
      </c>
      <c r="C192" s="4">
        <v>2</v>
      </c>
      <c r="D192" s="4">
        <v>6</v>
      </c>
      <c r="E192" s="4" t="s">
        <v>15</v>
      </c>
    </row>
    <row r="193" spans="1:5">
      <c r="A193" s="4" t="s">
        <v>340</v>
      </c>
      <c r="B193" s="4" t="s">
        <v>235</v>
      </c>
      <c r="C193" s="4">
        <v>1.9</v>
      </c>
      <c r="D193" s="4">
        <v>4</v>
      </c>
      <c r="E193" s="4" t="s">
        <v>14</v>
      </c>
    </row>
    <row r="194" spans="1:5">
      <c r="A194" s="4" t="s">
        <v>271</v>
      </c>
      <c r="B194" s="4" t="s">
        <v>30</v>
      </c>
      <c r="C194" s="4">
        <v>1.9</v>
      </c>
      <c r="D194" s="4">
        <v>4.5</v>
      </c>
      <c r="E194" s="4" t="s">
        <v>15</v>
      </c>
    </row>
    <row r="195" spans="1:5">
      <c r="A195" s="4" t="s">
        <v>75</v>
      </c>
      <c r="B195" s="4" t="s">
        <v>25</v>
      </c>
      <c r="C195" s="4">
        <v>1.9</v>
      </c>
      <c r="D195" s="4">
        <v>5.5</v>
      </c>
      <c r="E195" s="4" t="s">
        <v>15</v>
      </c>
    </row>
    <row r="196" spans="1:5">
      <c r="A196" s="4" t="s">
        <v>69</v>
      </c>
      <c r="B196" s="4" t="s">
        <v>11</v>
      </c>
      <c r="C196" s="4">
        <v>1.9</v>
      </c>
      <c r="D196" s="4">
        <v>6</v>
      </c>
      <c r="E196" s="4" t="s">
        <v>15</v>
      </c>
    </row>
    <row r="197" spans="1:5">
      <c r="A197" s="4" t="s">
        <v>341</v>
      </c>
      <c r="B197" s="4" t="s">
        <v>235</v>
      </c>
      <c r="C197" s="4">
        <v>1.9</v>
      </c>
      <c r="D197" s="4">
        <v>4</v>
      </c>
      <c r="E197" s="4" t="s">
        <v>14</v>
      </c>
    </row>
    <row r="198" spans="1:5">
      <c r="A198" s="4" t="s">
        <v>101</v>
      </c>
      <c r="B198" s="4" t="s">
        <v>5</v>
      </c>
      <c r="C198" s="4">
        <v>1.9</v>
      </c>
      <c r="D198" s="4">
        <v>5.5</v>
      </c>
      <c r="E198" s="4" t="s">
        <v>15</v>
      </c>
    </row>
    <row r="199" spans="1:5">
      <c r="A199" s="4" t="s">
        <v>92</v>
      </c>
      <c r="B199" s="4" t="s">
        <v>2</v>
      </c>
      <c r="C199" s="4">
        <v>1.9</v>
      </c>
      <c r="D199" s="4">
        <v>7.5</v>
      </c>
      <c r="E199" s="4" t="s">
        <v>16</v>
      </c>
    </row>
    <row r="200" spans="1:5">
      <c r="A200" s="4" t="s">
        <v>342</v>
      </c>
      <c r="B200" s="4" t="s">
        <v>233</v>
      </c>
      <c r="C200" s="4">
        <v>1.8</v>
      </c>
      <c r="D200" s="4">
        <v>5.5</v>
      </c>
      <c r="E200" s="4" t="s">
        <v>16</v>
      </c>
    </row>
    <row r="201" spans="1:5">
      <c r="A201" s="4" t="s">
        <v>178</v>
      </c>
      <c r="B201" s="4" t="s">
        <v>11</v>
      </c>
      <c r="C201" s="4">
        <v>1.8</v>
      </c>
      <c r="D201" s="4">
        <v>4.5</v>
      </c>
      <c r="E201" s="4" t="s">
        <v>14</v>
      </c>
    </row>
    <row r="202" spans="1:5">
      <c r="A202" s="4" t="s">
        <v>251</v>
      </c>
      <c r="B202" s="4" t="s">
        <v>25</v>
      </c>
      <c r="C202" s="4">
        <v>1.8</v>
      </c>
      <c r="D202" s="4">
        <v>5</v>
      </c>
      <c r="E202" s="4" t="s">
        <v>14</v>
      </c>
    </row>
    <row r="203" spans="1:5">
      <c r="A203" s="4" t="s">
        <v>74</v>
      </c>
      <c r="B203" s="4" t="s">
        <v>1</v>
      </c>
      <c r="C203" s="4">
        <v>1.8</v>
      </c>
      <c r="D203" s="4">
        <v>5.5</v>
      </c>
      <c r="E203" s="4" t="s">
        <v>13</v>
      </c>
    </row>
    <row r="204" spans="1:5">
      <c r="A204" s="4" t="s">
        <v>79</v>
      </c>
      <c r="B204" s="4" t="s">
        <v>8</v>
      </c>
      <c r="C204" s="4">
        <v>1.8</v>
      </c>
      <c r="D204" s="4">
        <v>5</v>
      </c>
      <c r="E204" s="4" t="s">
        <v>14</v>
      </c>
    </row>
    <row r="205" spans="1:5">
      <c r="A205" s="4" t="s">
        <v>89</v>
      </c>
      <c r="B205" s="4" t="s">
        <v>10</v>
      </c>
      <c r="C205" s="4">
        <v>1.7</v>
      </c>
      <c r="D205" s="4">
        <v>5</v>
      </c>
      <c r="E205" s="4" t="s">
        <v>14</v>
      </c>
    </row>
    <row r="206" spans="1:5">
      <c r="A206" s="4" t="s">
        <v>343</v>
      </c>
      <c r="B206" s="4" t="s">
        <v>234</v>
      </c>
      <c r="C206" s="4">
        <v>1.7</v>
      </c>
      <c r="D206" s="4">
        <v>4</v>
      </c>
      <c r="E206" s="4" t="s">
        <v>14</v>
      </c>
    </row>
    <row r="207" spans="1:5">
      <c r="A207" s="4" t="s">
        <v>258</v>
      </c>
      <c r="B207" s="4" t="s">
        <v>29</v>
      </c>
      <c r="C207" s="4">
        <v>1.6</v>
      </c>
      <c r="D207" s="4">
        <v>5.5</v>
      </c>
      <c r="E207" s="4" t="s">
        <v>15</v>
      </c>
    </row>
    <row r="208" spans="1:5">
      <c r="A208" s="4" t="s">
        <v>344</v>
      </c>
      <c r="B208" s="4" t="s">
        <v>235</v>
      </c>
      <c r="C208" s="4">
        <v>1.6</v>
      </c>
      <c r="D208" s="4">
        <v>4.5</v>
      </c>
      <c r="E208" s="4" t="s">
        <v>13</v>
      </c>
    </row>
    <row r="209" spans="1:5">
      <c r="A209" s="4" t="s">
        <v>88</v>
      </c>
      <c r="B209" s="4" t="s">
        <v>24</v>
      </c>
      <c r="C209" s="4">
        <v>1.6</v>
      </c>
      <c r="D209" s="4">
        <v>5.5</v>
      </c>
      <c r="E209" s="4" t="s">
        <v>15</v>
      </c>
    </row>
    <row r="210" spans="1:5">
      <c r="A210" s="4" t="s">
        <v>181</v>
      </c>
      <c r="B210" s="4" t="s">
        <v>10</v>
      </c>
      <c r="C210" s="4">
        <v>1.6</v>
      </c>
      <c r="D210" s="4">
        <v>4.5</v>
      </c>
      <c r="E210" s="4" t="s">
        <v>14</v>
      </c>
    </row>
    <row r="211" spans="1:5">
      <c r="A211" s="4" t="s">
        <v>345</v>
      </c>
      <c r="B211" s="4" t="s">
        <v>10</v>
      </c>
      <c r="C211" s="4">
        <v>1.6</v>
      </c>
      <c r="D211" s="4">
        <v>4.5</v>
      </c>
      <c r="E211" s="4" t="s">
        <v>14</v>
      </c>
    </row>
    <row r="212" spans="1:5">
      <c r="A212" s="4" t="s">
        <v>346</v>
      </c>
      <c r="B212" s="4" t="s">
        <v>24</v>
      </c>
      <c r="C212" s="4">
        <v>1.5</v>
      </c>
      <c r="D212" s="4">
        <v>4</v>
      </c>
      <c r="E212" s="4" t="s">
        <v>14</v>
      </c>
    </row>
    <row r="213" spans="1:5">
      <c r="A213" s="4" t="s">
        <v>142</v>
      </c>
      <c r="B213" s="4" t="s">
        <v>29</v>
      </c>
      <c r="C213" s="4">
        <v>1.5</v>
      </c>
      <c r="D213" s="4">
        <v>7.5</v>
      </c>
      <c r="E213" s="4" t="s">
        <v>16</v>
      </c>
    </row>
    <row r="214" spans="1:5">
      <c r="A214" s="4" t="s">
        <v>347</v>
      </c>
      <c r="B214" s="4" t="s">
        <v>11</v>
      </c>
      <c r="C214" s="4">
        <v>1.5</v>
      </c>
      <c r="D214" s="4">
        <v>4.5</v>
      </c>
      <c r="E214" s="4" t="s">
        <v>14</v>
      </c>
    </row>
    <row r="215" spans="1:5">
      <c r="A215" s="4" t="s">
        <v>122</v>
      </c>
      <c r="B215" s="4" t="s">
        <v>29</v>
      </c>
      <c r="C215" s="4">
        <v>1.5</v>
      </c>
      <c r="D215" s="4">
        <v>4</v>
      </c>
      <c r="E215" s="4" t="s">
        <v>13</v>
      </c>
    </row>
    <row r="216" spans="1:5">
      <c r="A216" s="4" t="s">
        <v>348</v>
      </c>
      <c r="B216" s="4" t="s">
        <v>235</v>
      </c>
      <c r="C216" s="4">
        <v>1.5</v>
      </c>
      <c r="D216" s="4">
        <v>4</v>
      </c>
      <c r="E216" s="4" t="s">
        <v>13</v>
      </c>
    </row>
    <row r="217" spans="1:5">
      <c r="A217" s="4" t="s">
        <v>349</v>
      </c>
      <c r="B217" s="4" t="s">
        <v>25</v>
      </c>
      <c r="C217" s="4">
        <v>1.5</v>
      </c>
      <c r="D217" s="4">
        <v>5.5</v>
      </c>
      <c r="E217" s="4" t="s">
        <v>15</v>
      </c>
    </row>
    <row r="218" spans="1:5">
      <c r="A218" s="4" t="s">
        <v>284</v>
      </c>
      <c r="B218" s="4" t="s">
        <v>12</v>
      </c>
      <c r="C218" s="4">
        <v>1.5</v>
      </c>
      <c r="D218" s="4">
        <v>4.5</v>
      </c>
      <c r="E218" s="4" t="s">
        <v>15</v>
      </c>
    </row>
    <row r="219" spans="1:5">
      <c r="A219" s="4" t="s">
        <v>91</v>
      </c>
      <c r="B219" s="4" t="s">
        <v>3</v>
      </c>
      <c r="C219" s="4">
        <v>1.4</v>
      </c>
      <c r="D219" s="4">
        <v>7</v>
      </c>
      <c r="E219" s="4" t="s">
        <v>16</v>
      </c>
    </row>
    <row r="220" spans="1:5">
      <c r="A220" s="4" t="s">
        <v>154</v>
      </c>
      <c r="B220" s="4" t="s">
        <v>6</v>
      </c>
      <c r="C220" s="4">
        <v>1.4</v>
      </c>
      <c r="D220" s="4">
        <v>4.5</v>
      </c>
      <c r="E220" s="4" t="s">
        <v>14</v>
      </c>
    </row>
    <row r="221" spans="1:5">
      <c r="A221" s="4" t="s">
        <v>60</v>
      </c>
      <c r="B221" s="4" t="s">
        <v>7</v>
      </c>
      <c r="C221" s="4">
        <v>1.4</v>
      </c>
      <c r="D221" s="4">
        <v>5.5</v>
      </c>
      <c r="E221" s="4" t="s">
        <v>14</v>
      </c>
    </row>
    <row r="222" spans="1:5">
      <c r="A222" s="4" t="s">
        <v>350</v>
      </c>
      <c r="B222" s="4" t="s">
        <v>235</v>
      </c>
      <c r="C222" s="4">
        <v>1.4</v>
      </c>
      <c r="D222" s="4">
        <v>4</v>
      </c>
      <c r="E222" s="4" t="s">
        <v>14</v>
      </c>
    </row>
    <row r="223" spans="1:5">
      <c r="A223" s="4" t="s">
        <v>18</v>
      </c>
      <c r="B223" s="4" t="s">
        <v>234</v>
      </c>
      <c r="C223" s="4">
        <v>1.4</v>
      </c>
      <c r="D223" s="4">
        <v>4</v>
      </c>
      <c r="E223" s="4" t="s">
        <v>13</v>
      </c>
    </row>
    <row r="224" spans="1:5">
      <c r="A224" s="4" t="s">
        <v>351</v>
      </c>
      <c r="B224" s="4" t="s">
        <v>29</v>
      </c>
      <c r="C224" s="4">
        <v>1.4</v>
      </c>
      <c r="D224" s="4">
        <v>5</v>
      </c>
      <c r="E224" s="4" t="s">
        <v>14</v>
      </c>
    </row>
    <row r="225" spans="1:5">
      <c r="A225" s="4" t="s">
        <v>81</v>
      </c>
      <c r="B225" s="4" t="s">
        <v>0</v>
      </c>
      <c r="C225" s="4">
        <v>1.4</v>
      </c>
      <c r="D225" s="4">
        <v>5</v>
      </c>
      <c r="E225" s="4" t="s">
        <v>13</v>
      </c>
    </row>
    <row r="226" spans="1:5">
      <c r="A226" s="4" t="s">
        <v>58</v>
      </c>
      <c r="B226" s="4" t="s">
        <v>1</v>
      </c>
      <c r="C226" s="4">
        <v>1.4</v>
      </c>
      <c r="D226" s="4">
        <v>11</v>
      </c>
      <c r="E226" s="4" t="s">
        <v>16</v>
      </c>
    </row>
    <row r="227" spans="1:5">
      <c r="A227" s="4" t="s">
        <v>352</v>
      </c>
      <c r="B227" s="4" t="s">
        <v>8</v>
      </c>
      <c r="C227" s="4">
        <v>1.3</v>
      </c>
      <c r="D227" s="4">
        <v>4.5</v>
      </c>
      <c r="E227" s="4" t="s">
        <v>14</v>
      </c>
    </row>
    <row r="228" spans="1:5">
      <c r="A228" s="4" t="s">
        <v>126</v>
      </c>
      <c r="B228" s="4" t="s">
        <v>3</v>
      </c>
      <c r="C228" s="4">
        <v>1.3</v>
      </c>
      <c r="D228" s="4">
        <v>6.5</v>
      </c>
      <c r="E228" s="4" t="s">
        <v>16</v>
      </c>
    </row>
    <row r="229" spans="1:5">
      <c r="A229" s="4" t="s">
        <v>194</v>
      </c>
      <c r="B229" s="4" t="s">
        <v>233</v>
      </c>
      <c r="C229" s="4">
        <v>1.3</v>
      </c>
      <c r="D229" s="4">
        <v>5.5</v>
      </c>
      <c r="E229" s="4" t="s">
        <v>16</v>
      </c>
    </row>
    <row r="230" spans="1:5">
      <c r="A230" s="4" t="s">
        <v>222</v>
      </c>
      <c r="B230" s="4" t="s">
        <v>12</v>
      </c>
      <c r="C230" s="4">
        <v>1.3</v>
      </c>
      <c r="D230" s="4">
        <v>4</v>
      </c>
      <c r="E230" s="4" t="s">
        <v>14</v>
      </c>
    </row>
    <row r="231" spans="1:5">
      <c r="A231" s="4" t="s">
        <v>46</v>
      </c>
      <c r="B231" s="4" t="s">
        <v>7</v>
      </c>
      <c r="C231" s="4">
        <v>1.3</v>
      </c>
      <c r="D231" s="4">
        <v>4.5</v>
      </c>
      <c r="E231" s="4" t="s">
        <v>13</v>
      </c>
    </row>
    <row r="232" spans="1:5">
      <c r="A232" s="4" t="s">
        <v>353</v>
      </c>
      <c r="B232" s="4" t="s">
        <v>234</v>
      </c>
      <c r="C232" s="4">
        <v>1.3</v>
      </c>
      <c r="D232" s="4">
        <v>5</v>
      </c>
      <c r="E232" s="4" t="s">
        <v>16</v>
      </c>
    </row>
    <row r="233" spans="1:5">
      <c r="A233" s="4" t="s">
        <v>285</v>
      </c>
      <c r="B233" s="4" t="s">
        <v>5</v>
      </c>
      <c r="C233" s="4">
        <v>1.3</v>
      </c>
      <c r="D233" s="4">
        <v>4.5</v>
      </c>
      <c r="E233" s="4" t="s">
        <v>14</v>
      </c>
    </row>
    <row r="234" spans="1:5">
      <c r="A234" s="4" t="s">
        <v>137</v>
      </c>
      <c r="B234" s="4" t="s">
        <v>4</v>
      </c>
      <c r="C234" s="4">
        <v>1.3</v>
      </c>
      <c r="D234" s="4">
        <v>6</v>
      </c>
      <c r="E234" s="4" t="s">
        <v>15</v>
      </c>
    </row>
    <row r="235" spans="1:5">
      <c r="A235" s="4" t="s">
        <v>209</v>
      </c>
      <c r="B235" s="4" t="s">
        <v>29</v>
      </c>
      <c r="C235" s="4">
        <v>1.3</v>
      </c>
      <c r="D235" s="4">
        <v>5.5</v>
      </c>
      <c r="E235" s="4" t="s">
        <v>15</v>
      </c>
    </row>
    <row r="236" spans="1:5">
      <c r="A236" s="4" t="s">
        <v>354</v>
      </c>
      <c r="B236" s="4" t="s">
        <v>235</v>
      </c>
      <c r="C236" s="4">
        <v>1.3</v>
      </c>
      <c r="D236" s="4">
        <v>4</v>
      </c>
      <c r="E236" s="4" t="s">
        <v>14</v>
      </c>
    </row>
    <row r="237" spans="1:5">
      <c r="A237" s="4" t="s">
        <v>260</v>
      </c>
      <c r="B237" s="4" t="s">
        <v>8</v>
      </c>
      <c r="C237" s="4">
        <v>1.3</v>
      </c>
      <c r="D237" s="4">
        <v>5</v>
      </c>
      <c r="E237" s="4" t="s">
        <v>15</v>
      </c>
    </row>
    <row r="238" spans="1:5">
      <c r="A238" s="4" t="s">
        <v>86</v>
      </c>
      <c r="B238" s="4" t="s">
        <v>1</v>
      </c>
      <c r="C238" s="4">
        <v>1.3</v>
      </c>
      <c r="D238" s="4">
        <v>5.5</v>
      </c>
      <c r="E238" s="4" t="s">
        <v>14</v>
      </c>
    </row>
    <row r="239" spans="1:5">
      <c r="A239" s="4" t="s">
        <v>103</v>
      </c>
      <c r="B239" s="4" t="s">
        <v>10</v>
      </c>
      <c r="C239" s="4">
        <v>1.2</v>
      </c>
      <c r="D239" s="4">
        <v>8.5</v>
      </c>
      <c r="E239" s="4" t="s">
        <v>16</v>
      </c>
    </row>
    <row r="240" spans="1:5">
      <c r="A240" s="4" t="s">
        <v>264</v>
      </c>
      <c r="B240" s="4" t="s">
        <v>8</v>
      </c>
      <c r="C240" s="4">
        <v>1.2</v>
      </c>
      <c r="D240" s="4">
        <v>5</v>
      </c>
      <c r="E240" s="4" t="s">
        <v>15</v>
      </c>
    </row>
    <row r="241" spans="1:5">
      <c r="A241" s="4" t="s">
        <v>355</v>
      </c>
      <c r="B241" s="4" t="s">
        <v>235</v>
      </c>
      <c r="C241" s="4">
        <v>1.2</v>
      </c>
      <c r="D241" s="4">
        <v>5</v>
      </c>
      <c r="E241" s="4" t="s">
        <v>15</v>
      </c>
    </row>
    <row r="242" spans="1:5">
      <c r="A242" s="4" t="s">
        <v>217</v>
      </c>
      <c r="B242" s="4" t="s">
        <v>30</v>
      </c>
      <c r="C242" s="4">
        <v>1.2</v>
      </c>
      <c r="D242" s="4">
        <v>6</v>
      </c>
      <c r="E242" s="4" t="s">
        <v>15</v>
      </c>
    </row>
    <row r="243" spans="1:5">
      <c r="A243" s="4" t="s">
        <v>356</v>
      </c>
      <c r="B243" s="4" t="s">
        <v>30</v>
      </c>
      <c r="C243" s="4">
        <v>1.2</v>
      </c>
      <c r="D243" s="4">
        <v>5</v>
      </c>
      <c r="E243" s="4" t="s">
        <v>14</v>
      </c>
    </row>
    <row r="244" spans="1:5">
      <c r="A244" s="4" t="s">
        <v>357</v>
      </c>
      <c r="B244" s="4" t="s">
        <v>233</v>
      </c>
      <c r="C244" s="4">
        <v>1.2</v>
      </c>
      <c r="D244" s="4">
        <v>4.5</v>
      </c>
      <c r="E244" s="4" t="s">
        <v>16</v>
      </c>
    </row>
    <row r="245" spans="1:5">
      <c r="A245" s="4" t="s">
        <v>358</v>
      </c>
      <c r="B245" s="4" t="s">
        <v>234</v>
      </c>
      <c r="C245" s="4">
        <v>1.2</v>
      </c>
      <c r="D245" s="4">
        <v>4.5</v>
      </c>
      <c r="E245" s="4" t="s">
        <v>16</v>
      </c>
    </row>
    <row r="246" spans="1:5">
      <c r="A246" s="4" t="s">
        <v>164</v>
      </c>
      <c r="B246" s="4" t="s">
        <v>10</v>
      </c>
      <c r="C246" s="4">
        <v>1.2</v>
      </c>
      <c r="D246" s="4">
        <v>5</v>
      </c>
      <c r="E246" s="4" t="s">
        <v>14</v>
      </c>
    </row>
    <row r="247" spans="1:5">
      <c r="A247" s="4" t="s">
        <v>186</v>
      </c>
      <c r="B247" s="4" t="s">
        <v>3</v>
      </c>
      <c r="C247" s="4">
        <v>1.1000000000000001</v>
      </c>
      <c r="D247" s="4">
        <v>4.5</v>
      </c>
      <c r="E247" s="4" t="s">
        <v>14</v>
      </c>
    </row>
    <row r="248" spans="1:5">
      <c r="A248" s="4" t="s">
        <v>135</v>
      </c>
      <c r="B248" s="4" t="s">
        <v>8</v>
      </c>
      <c r="C248" s="4">
        <v>1.1000000000000001</v>
      </c>
      <c r="D248" s="4">
        <v>6</v>
      </c>
      <c r="E248" s="4" t="s">
        <v>15</v>
      </c>
    </row>
    <row r="249" spans="1:5">
      <c r="A249" s="4" t="s">
        <v>359</v>
      </c>
      <c r="B249" s="4" t="s">
        <v>233</v>
      </c>
      <c r="C249" s="4">
        <v>1.1000000000000001</v>
      </c>
      <c r="D249" s="4">
        <v>4.5</v>
      </c>
      <c r="E249" s="4" t="s">
        <v>14</v>
      </c>
    </row>
    <row r="250" spans="1:5">
      <c r="A250" s="4" t="s">
        <v>96</v>
      </c>
      <c r="B250" s="4" t="s">
        <v>7</v>
      </c>
      <c r="C250" s="4">
        <v>1.1000000000000001</v>
      </c>
      <c r="D250" s="4">
        <v>5</v>
      </c>
      <c r="E250" s="4" t="s">
        <v>14</v>
      </c>
    </row>
    <row r="251" spans="1:5">
      <c r="A251" s="4" t="s">
        <v>65</v>
      </c>
      <c r="B251" s="4" t="s">
        <v>4</v>
      </c>
      <c r="C251" s="4">
        <v>1.1000000000000001</v>
      </c>
      <c r="D251" s="4">
        <v>5.5</v>
      </c>
      <c r="E251" s="4" t="s">
        <v>14</v>
      </c>
    </row>
    <row r="252" spans="1:5">
      <c r="A252" s="4" t="s">
        <v>100</v>
      </c>
      <c r="B252" s="4" t="s">
        <v>24</v>
      </c>
      <c r="C252" s="4">
        <v>1.1000000000000001</v>
      </c>
      <c r="D252" s="4">
        <v>4.5</v>
      </c>
      <c r="E252" s="4" t="s">
        <v>14</v>
      </c>
    </row>
    <row r="253" spans="1:5">
      <c r="A253" s="4" t="s">
        <v>175</v>
      </c>
      <c r="B253" s="4" t="s">
        <v>2</v>
      </c>
      <c r="C253" s="4">
        <v>1.1000000000000001</v>
      </c>
      <c r="D253" s="4">
        <v>6</v>
      </c>
      <c r="E253" s="4" t="s">
        <v>14</v>
      </c>
    </row>
    <row r="254" spans="1:5">
      <c r="A254" s="4" t="s">
        <v>360</v>
      </c>
      <c r="B254" s="4" t="s">
        <v>235</v>
      </c>
      <c r="C254" s="4">
        <v>1</v>
      </c>
      <c r="D254" s="4">
        <v>5</v>
      </c>
      <c r="E254" s="4" t="s">
        <v>15</v>
      </c>
    </row>
    <row r="255" spans="1:5">
      <c r="A255" s="4" t="s">
        <v>361</v>
      </c>
      <c r="B255" s="4" t="s">
        <v>11</v>
      </c>
      <c r="C255" s="4">
        <v>1</v>
      </c>
      <c r="D255" s="4">
        <v>4.5</v>
      </c>
      <c r="E255" s="4" t="s">
        <v>15</v>
      </c>
    </row>
    <row r="256" spans="1:5">
      <c r="A256" s="4" t="s">
        <v>127</v>
      </c>
      <c r="B256" s="4" t="s">
        <v>7</v>
      </c>
      <c r="C256" s="4">
        <v>1</v>
      </c>
      <c r="D256" s="4">
        <v>5</v>
      </c>
      <c r="E256" s="4" t="s">
        <v>14</v>
      </c>
    </row>
    <row r="257" spans="1:5">
      <c r="A257" s="4" t="s">
        <v>267</v>
      </c>
      <c r="B257" s="4" t="s">
        <v>25</v>
      </c>
      <c r="C257" s="4">
        <v>1</v>
      </c>
      <c r="D257" s="4">
        <v>5</v>
      </c>
      <c r="E257" s="4" t="s">
        <v>14</v>
      </c>
    </row>
    <row r="258" spans="1:5">
      <c r="A258" s="4" t="s">
        <v>224</v>
      </c>
      <c r="B258" s="4" t="s">
        <v>2</v>
      </c>
      <c r="C258" s="4">
        <v>1</v>
      </c>
      <c r="D258" s="4">
        <v>6</v>
      </c>
      <c r="E258" s="4" t="s">
        <v>15</v>
      </c>
    </row>
    <row r="259" spans="1:5">
      <c r="A259" s="4" t="s">
        <v>104</v>
      </c>
      <c r="B259" s="4" t="s">
        <v>24</v>
      </c>
      <c r="C259" s="4">
        <v>1</v>
      </c>
      <c r="D259" s="4">
        <v>5.5</v>
      </c>
      <c r="E259" s="4" t="s">
        <v>15</v>
      </c>
    </row>
    <row r="260" spans="1:5">
      <c r="A260" s="4" t="s">
        <v>362</v>
      </c>
      <c r="B260" s="4" t="s">
        <v>234</v>
      </c>
      <c r="C260" s="4">
        <v>1</v>
      </c>
      <c r="D260" s="4">
        <v>4.5</v>
      </c>
      <c r="E260" s="4" t="s">
        <v>15</v>
      </c>
    </row>
    <row r="261" spans="1:5">
      <c r="A261" s="4" t="s">
        <v>363</v>
      </c>
      <c r="B261" s="4" t="s">
        <v>8</v>
      </c>
      <c r="C261" s="4">
        <v>1</v>
      </c>
      <c r="D261" s="4">
        <v>4</v>
      </c>
      <c r="E261" s="4" t="s">
        <v>14</v>
      </c>
    </row>
    <row r="262" spans="1:5">
      <c r="A262" s="4" t="s">
        <v>223</v>
      </c>
      <c r="B262" s="4" t="s">
        <v>0</v>
      </c>
      <c r="C262" s="4">
        <v>1</v>
      </c>
      <c r="D262" s="4">
        <v>4.5</v>
      </c>
      <c r="E262" s="4" t="s">
        <v>15</v>
      </c>
    </row>
    <row r="263" spans="1:5">
      <c r="A263" s="4" t="s">
        <v>85</v>
      </c>
      <c r="B263" s="4" t="s">
        <v>12</v>
      </c>
      <c r="C263" s="4">
        <v>1</v>
      </c>
      <c r="D263" s="4">
        <v>6</v>
      </c>
      <c r="E263" s="4" t="s">
        <v>16</v>
      </c>
    </row>
    <row r="264" spans="1:5">
      <c r="A264" s="4" t="s">
        <v>364</v>
      </c>
      <c r="B264" s="4" t="s">
        <v>3</v>
      </c>
      <c r="C264" s="4">
        <v>1</v>
      </c>
      <c r="D264" s="4">
        <v>4.5</v>
      </c>
      <c r="E264" s="4" t="s">
        <v>14</v>
      </c>
    </row>
    <row r="265" spans="1:5">
      <c r="A265" s="4" t="s">
        <v>365</v>
      </c>
      <c r="B265" s="4" t="s">
        <v>24</v>
      </c>
      <c r="C265" s="4">
        <v>1</v>
      </c>
      <c r="D265" s="4">
        <v>5</v>
      </c>
      <c r="E265" s="4" t="s">
        <v>15</v>
      </c>
    </row>
    <row r="266" spans="1:5">
      <c r="A266" s="4" t="s">
        <v>200</v>
      </c>
      <c r="B266" s="4" t="s">
        <v>10</v>
      </c>
      <c r="C266" s="4">
        <v>1</v>
      </c>
      <c r="D266" s="4">
        <v>4.5</v>
      </c>
      <c r="E266" s="4" t="s">
        <v>16</v>
      </c>
    </row>
    <row r="267" spans="1:5">
      <c r="A267" s="4" t="s">
        <v>196</v>
      </c>
      <c r="B267" s="4" t="s">
        <v>3</v>
      </c>
      <c r="C267" s="4">
        <v>1</v>
      </c>
      <c r="D267" s="4">
        <v>5.5</v>
      </c>
      <c r="E267" s="4" t="s">
        <v>15</v>
      </c>
    </row>
    <row r="268" spans="1:5">
      <c r="A268" s="4" t="s">
        <v>366</v>
      </c>
      <c r="B268" s="4" t="s">
        <v>24</v>
      </c>
      <c r="C268" s="4">
        <v>0.9</v>
      </c>
      <c r="D268" s="4">
        <v>6</v>
      </c>
      <c r="E268" s="4" t="s">
        <v>15</v>
      </c>
    </row>
    <row r="269" spans="1:5">
      <c r="A269" s="4" t="s">
        <v>95</v>
      </c>
      <c r="B269" s="4" t="s">
        <v>9</v>
      </c>
      <c r="C269" s="4">
        <v>0.9</v>
      </c>
      <c r="D269" s="4">
        <v>5</v>
      </c>
      <c r="E269" s="4" t="s">
        <v>16</v>
      </c>
    </row>
    <row r="270" spans="1:5">
      <c r="A270" s="4" t="s">
        <v>287</v>
      </c>
      <c r="B270" s="4" t="s">
        <v>5</v>
      </c>
      <c r="C270" s="4">
        <v>0.9</v>
      </c>
      <c r="D270" s="4">
        <v>5.5</v>
      </c>
      <c r="E270" s="4" t="s">
        <v>14</v>
      </c>
    </row>
    <row r="271" spans="1:5">
      <c r="A271" s="4" t="s">
        <v>367</v>
      </c>
      <c r="B271" s="4" t="s">
        <v>233</v>
      </c>
      <c r="C271" s="4">
        <v>0.9</v>
      </c>
      <c r="D271" s="4">
        <v>4</v>
      </c>
      <c r="E271" s="4" t="s">
        <v>14</v>
      </c>
    </row>
    <row r="272" spans="1:5">
      <c r="A272" s="4" t="s">
        <v>368</v>
      </c>
      <c r="B272" s="4" t="s">
        <v>234</v>
      </c>
      <c r="C272" s="4">
        <v>0.9</v>
      </c>
      <c r="D272" s="4">
        <v>4</v>
      </c>
      <c r="E272" s="4" t="s">
        <v>14</v>
      </c>
    </row>
    <row r="273" spans="1:5">
      <c r="A273" s="4" t="s">
        <v>369</v>
      </c>
      <c r="B273" s="4" t="s">
        <v>234</v>
      </c>
      <c r="C273" s="4">
        <v>0.8</v>
      </c>
      <c r="D273" s="4">
        <v>5</v>
      </c>
      <c r="E273" s="4" t="s">
        <v>15</v>
      </c>
    </row>
    <row r="274" spans="1:5">
      <c r="A274" s="4" t="s">
        <v>148</v>
      </c>
      <c r="B274" s="4" t="s">
        <v>1</v>
      </c>
      <c r="C274" s="4">
        <v>0.8</v>
      </c>
      <c r="D274" s="4">
        <v>6</v>
      </c>
      <c r="E274" s="4" t="s">
        <v>15</v>
      </c>
    </row>
    <row r="275" spans="1:5">
      <c r="A275" s="4" t="s">
        <v>370</v>
      </c>
      <c r="B275" s="4" t="s">
        <v>0</v>
      </c>
      <c r="C275" s="4">
        <v>0.8</v>
      </c>
      <c r="D275" s="4">
        <v>5.5</v>
      </c>
      <c r="E275" s="4" t="s">
        <v>15</v>
      </c>
    </row>
    <row r="276" spans="1:5">
      <c r="A276" s="4" t="s">
        <v>371</v>
      </c>
      <c r="B276" s="4" t="s">
        <v>234</v>
      </c>
      <c r="C276" s="4">
        <v>0.8</v>
      </c>
      <c r="D276" s="4">
        <v>5.5</v>
      </c>
      <c r="E276" s="4" t="s">
        <v>16</v>
      </c>
    </row>
    <row r="277" spans="1:5">
      <c r="A277" s="4" t="s">
        <v>211</v>
      </c>
      <c r="B277" s="4" t="s">
        <v>29</v>
      </c>
      <c r="C277" s="4">
        <v>0.8</v>
      </c>
      <c r="D277" s="4">
        <v>5.5</v>
      </c>
      <c r="E277" s="4" t="s">
        <v>16</v>
      </c>
    </row>
    <row r="278" spans="1:5">
      <c r="A278" s="4" t="s">
        <v>72</v>
      </c>
      <c r="B278" s="4" t="s">
        <v>234</v>
      </c>
      <c r="C278" s="4">
        <v>0.8</v>
      </c>
      <c r="D278" s="4">
        <v>4.5</v>
      </c>
      <c r="E278" s="4" t="s">
        <v>15</v>
      </c>
    </row>
    <row r="279" spans="1:5">
      <c r="A279" s="4" t="s">
        <v>372</v>
      </c>
      <c r="B279" s="4" t="s">
        <v>8</v>
      </c>
      <c r="C279" s="4">
        <v>0.7</v>
      </c>
      <c r="D279" s="4">
        <v>4.5</v>
      </c>
      <c r="E279" s="4" t="s">
        <v>15</v>
      </c>
    </row>
    <row r="280" spans="1:5">
      <c r="A280" s="4" t="s">
        <v>373</v>
      </c>
      <c r="B280" s="4" t="s">
        <v>235</v>
      </c>
      <c r="C280" s="4">
        <v>0.7</v>
      </c>
      <c r="D280" s="4">
        <v>5</v>
      </c>
      <c r="E280" s="4" t="s">
        <v>15</v>
      </c>
    </row>
    <row r="281" spans="1:5">
      <c r="A281" s="4" t="s">
        <v>374</v>
      </c>
      <c r="B281" s="4" t="s">
        <v>5</v>
      </c>
      <c r="C281" s="4">
        <v>0.7</v>
      </c>
      <c r="D281" s="4">
        <v>5</v>
      </c>
      <c r="E281" s="4" t="s">
        <v>16</v>
      </c>
    </row>
    <row r="282" spans="1:5">
      <c r="A282" s="4" t="s">
        <v>375</v>
      </c>
      <c r="B282" s="4" t="s">
        <v>235</v>
      </c>
      <c r="C282" s="4">
        <v>0.6</v>
      </c>
      <c r="D282" s="4">
        <v>5</v>
      </c>
      <c r="E282" s="4" t="s">
        <v>16</v>
      </c>
    </row>
    <row r="283" spans="1:5">
      <c r="A283" s="4" t="s">
        <v>201</v>
      </c>
      <c r="B283" s="4" t="s">
        <v>3</v>
      </c>
      <c r="C283" s="4">
        <v>0.6</v>
      </c>
      <c r="D283" s="4">
        <v>4.5</v>
      </c>
      <c r="E283" s="4" t="s">
        <v>16</v>
      </c>
    </row>
    <row r="284" spans="1:5">
      <c r="A284" s="4" t="s">
        <v>376</v>
      </c>
      <c r="B284" s="4" t="s">
        <v>235</v>
      </c>
      <c r="C284" s="4">
        <v>0.6</v>
      </c>
      <c r="D284" s="4">
        <v>4.5</v>
      </c>
      <c r="E284" s="4" t="s">
        <v>16</v>
      </c>
    </row>
    <row r="285" spans="1:5">
      <c r="A285" s="4" t="s">
        <v>165</v>
      </c>
      <c r="B285" s="4" t="s">
        <v>8</v>
      </c>
      <c r="C285" s="4">
        <v>0.6</v>
      </c>
      <c r="D285" s="4">
        <v>5.5</v>
      </c>
      <c r="E285" s="4" t="s">
        <v>16</v>
      </c>
    </row>
    <row r="286" spans="1:5">
      <c r="A286" s="4" t="s">
        <v>377</v>
      </c>
      <c r="B286" s="4" t="s">
        <v>234</v>
      </c>
      <c r="C286" s="4">
        <v>0.6</v>
      </c>
      <c r="D286" s="4">
        <v>4.5</v>
      </c>
      <c r="E286" s="4" t="s">
        <v>16</v>
      </c>
    </row>
    <row r="287" spans="1:5">
      <c r="A287" s="4" t="s">
        <v>304</v>
      </c>
      <c r="B287" s="4" t="s">
        <v>24</v>
      </c>
      <c r="C287" s="4">
        <v>0.5</v>
      </c>
      <c r="D287" s="4">
        <v>5</v>
      </c>
      <c r="E287" s="4" t="s">
        <v>16</v>
      </c>
    </row>
    <row r="288" spans="1:5">
      <c r="A288" s="4" t="s">
        <v>378</v>
      </c>
      <c r="B288" s="4" t="s">
        <v>3</v>
      </c>
      <c r="C288" s="4">
        <v>0.5</v>
      </c>
      <c r="D288" s="4">
        <v>5.5</v>
      </c>
      <c r="E288" s="4" t="s">
        <v>16</v>
      </c>
    </row>
    <row r="289" spans="1:5">
      <c r="A289" s="4" t="s">
        <v>190</v>
      </c>
      <c r="B289" s="4" t="s">
        <v>233</v>
      </c>
      <c r="C289" s="4">
        <v>0.5</v>
      </c>
      <c r="D289" s="4">
        <v>4.5</v>
      </c>
      <c r="E289" s="4" t="s">
        <v>16</v>
      </c>
    </row>
    <row r="319" spans="7:10">
      <c r="G319" s="5"/>
      <c r="H319" s="5"/>
      <c r="I319" s="5"/>
      <c r="J319" s="5"/>
    </row>
    <row r="320" spans="7:10">
      <c r="G320" s="5"/>
      <c r="H320" s="5"/>
      <c r="I320" s="5"/>
      <c r="J320" s="5"/>
    </row>
    <row r="321" spans="1:10">
      <c r="G321" s="5"/>
      <c r="H321" s="5"/>
      <c r="I321" s="5"/>
      <c r="J321" s="5"/>
    </row>
    <row r="322" spans="1:10">
      <c r="G322" s="5"/>
      <c r="H322" s="5"/>
      <c r="I322" s="5"/>
      <c r="J322" s="5"/>
    </row>
    <row r="323" spans="1:10">
      <c r="G323" s="5"/>
      <c r="H323" s="5"/>
      <c r="I323" s="5"/>
      <c r="J323" s="5"/>
    </row>
    <row r="324" spans="1:10">
      <c r="G324" s="5"/>
      <c r="H324" s="5"/>
      <c r="I324" s="5"/>
      <c r="J324" s="5"/>
    </row>
    <row r="325" spans="1:10">
      <c r="G325" s="5"/>
      <c r="H325" s="5"/>
      <c r="I325" s="5"/>
      <c r="J325" s="5"/>
    </row>
    <row r="326" spans="1:10">
      <c r="G326" s="5"/>
      <c r="H326" s="5"/>
      <c r="I326" s="5"/>
      <c r="J326" s="5"/>
    </row>
    <row r="327" spans="1:10">
      <c r="G327" s="5"/>
      <c r="H327" s="5"/>
      <c r="I327" s="5"/>
      <c r="J327" s="5"/>
    </row>
    <row r="328" spans="1:10">
      <c r="G328" s="5"/>
      <c r="H328" s="5"/>
      <c r="I328" s="5"/>
      <c r="J328" s="5"/>
    </row>
    <row r="329" spans="1:10">
      <c r="G329" s="5"/>
      <c r="H329" s="5"/>
      <c r="I329" s="5"/>
      <c r="J329" s="5"/>
    </row>
    <row r="330" spans="1:10">
      <c r="G330" s="5"/>
      <c r="H330" s="5"/>
      <c r="I330" s="5"/>
      <c r="J330" s="5"/>
    </row>
    <row r="331" spans="1:10">
      <c r="G331" s="5"/>
      <c r="H331" s="5"/>
      <c r="I331" s="5"/>
      <c r="J331" s="5"/>
    </row>
    <row r="332" spans="1:10">
      <c r="A332" s="5"/>
      <c r="B332" s="5"/>
      <c r="C332" s="5"/>
      <c r="D332" s="5"/>
      <c r="G332" s="5"/>
      <c r="H332" s="5"/>
      <c r="I332" s="5"/>
      <c r="J332" s="5"/>
    </row>
    <row r="333" spans="1:10">
      <c r="A333" s="5"/>
      <c r="B333" s="5"/>
      <c r="C333" s="5"/>
      <c r="D333" s="5"/>
      <c r="G333" s="5"/>
      <c r="H333" s="5"/>
      <c r="I333" s="5"/>
      <c r="J333" s="5"/>
    </row>
    <row r="334" spans="1:10">
      <c r="A334" s="5"/>
      <c r="B334" s="5"/>
      <c r="C334" s="5"/>
      <c r="D334" s="5"/>
      <c r="G334" s="5"/>
      <c r="H334" s="5"/>
      <c r="I334" s="5"/>
      <c r="J334" s="5"/>
    </row>
    <row r="335" spans="1:10">
      <c r="A335" s="5"/>
      <c r="B335" s="5"/>
      <c r="C335" s="5"/>
      <c r="D335" s="5"/>
      <c r="G335" s="5"/>
      <c r="H335" s="5"/>
      <c r="I335" s="5"/>
      <c r="J335" s="5"/>
    </row>
    <row r="336" spans="1:10">
      <c r="A336" s="5"/>
      <c r="B336" s="5"/>
      <c r="C336" s="5"/>
      <c r="D336" s="5"/>
      <c r="G336" s="5"/>
      <c r="H336" s="5"/>
      <c r="I336" s="5"/>
      <c r="J336" s="5"/>
    </row>
    <row r="337" spans="1:10">
      <c r="A337" s="5"/>
      <c r="B337" s="5"/>
      <c r="C337" s="5"/>
      <c r="D337" s="5"/>
      <c r="G337" s="5"/>
      <c r="H337" s="5"/>
      <c r="I337" s="5"/>
      <c r="J337" s="5"/>
    </row>
    <row r="338" spans="1:10">
      <c r="A338" s="5"/>
      <c r="B338" s="5"/>
      <c r="C338" s="5"/>
      <c r="D338" s="5"/>
      <c r="G338" s="5"/>
      <c r="H338" s="5"/>
      <c r="I338" s="5"/>
      <c r="J338" s="5"/>
    </row>
    <row r="339" spans="1:10">
      <c r="A339" s="5"/>
      <c r="B339" s="5"/>
      <c r="C339" s="5"/>
      <c r="D339" s="5"/>
      <c r="G339" s="5"/>
      <c r="H339" s="5"/>
      <c r="I339" s="5"/>
      <c r="J339" s="5"/>
    </row>
    <row r="340" spans="1:10">
      <c r="A340" s="5"/>
      <c r="B340" s="5"/>
      <c r="C340" s="5"/>
      <c r="D340" s="5"/>
    </row>
    <row r="341" spans="1:10">
      <c r="A341" s="5"/>
      <c r="B341" s="5"/>
      <c r="C341" s="5"/>
      <c r="D341" s="5"/>
    </row>
    <row r="342" spans="1:10">
      <c r="A342" s="5"/>
      <c r="B342" s="5"/>
      <c r="C342" s="5"/>
      <c r="D342" s="5"/>
    </row>
    <row r="343" spans="1:10">
      <c r="A343" s="5"/>
      <c r="B343" s="5"/>
      <c r="C343" s="5"/>
      <c r="D343" s="5"/>
    </row>
    <row r="344" spans="1:10">
      <c r="A344" s="5"/>
      <c r="B344" s="5"/>
      <c r="C344" s="5"/>
      <c r="D344" s="5"/>
    </row>
    <row r="345" spans="1:10">
      <c r="A345" s="5"/>
      <c r="B345" s="5"/>
      <c r="C345" s="5"/>
      <c r="D345" s="5"/>
    </row>
    <row r="346" spans="1:10">
      <c r="A346" s="5"/>
      <c r="B346" s="5"/>
      <c r="C346" s="5"/>
      <c r="D346" s="5"/>
    </row>
    <row r="347" spans="1:10">
      <c r="A347" s="5"/>
      <c r="B347" s="5"/>
      <c r="C347" s="5"/>
      <c r="D347" s="5"/>
    </row>
    <row r="348" spans="1:10">
      <c r="A348" s="5"/>
      <c r="B348" s="5"/>
      <c r="C348" s="5"/>
      <c r="D348" s="5"/>
    </row>
    <row r="349" spans="1:10">
      <c r="A349" s="5"/>
      <c r="B349" s="5"/>
      <c r="C349" s="5"/>
      <c r="D349" s="5"/>
    </row>
    <row r="350" spans="1:10">
      <c r="A350" s="5"/>
      <c r="B350" s="5"/>
      <c r="C350" s="5"/>
      <c r="D350" s="5"/>
    </row>
    <row r="351" spans="1:10">
      <c r="A351" s="5"/>
      <c r="B351" s="5"/>
      <c r="C351" s="5"/>
      <c r="D351" s="5"/>
    </row>
    <row r="352" spans="1:10">
      <c r="A352" s="5"/>
      <c r="B352" s="5"/>
      <c r="C352" s="5"/>
      <c r="D352" s="5"/>
    </row>
    <row r="353" spans="1:4">
      <c r="A353" s="5"/>
      <c r="B353" s="5"/>
      <c r="C353" s="5"/>
      <c r="D353" s="5"/>
    </row>
    <row r="354" spans="1:4">
      <c r="A354" s="5"/>
      <c r="B354" s="5"/>
      <c r="C354" s="5"/>
      <c r="D354" s="5"/>
    </row>
    <row r="355" spans="1:4">
      <c r="A355" s="5"/>
      <c r="B355" s="5"/>
      <c r="C355" s="5"/>
      <c r="D355" s="5"/>
    </row>
    <row r="356" spans="1:4">
      <c r="A356" s="5"/>
      <c r="B356" s="5"/>
      <c r="C356" s="5"/>
      <c r="D356" s="5"/>
    </row>
    <row r="357" spans="1:4">
      <c r="A357" s="5"/>
      <c r="B357" s="5"/>
      <c r="C357" s="5"/>
      <c r="D357" s="5"/>
    </row>
    <row r="358" spans="1:4">
      <c r="A358" s="5"/>
      <c r="B358" s="5"/>
      <c r="C358" s="5"/>
      <c r="D358" s="5"/>
    </row>
    <row r="359" spans="1:4">
      <c r="A359" s="5"/>
      <c r="B359" s="5"/>
      <c r="C359" s="5"/>
      <c r="D359" s="5"/>
    </row>
    <row r="360" spans="1:4">
      <c r="A360" s="5"/>
      <c r="B360" s="5"/>
      <c r="C360" s="5"/>
      <c r="D360" s="5"/>
    </row>
    <row r="361" spans="1:4">
      <c r="A361" s="5"/>
      <c r="B361" s="5"/>
      <c r="C361" s="5"/>
      <c r="D361" s="5"/>
    </row>
    <row r="362" spans="1:4">
      <c r="A362" s="5"/>
      <c r="B362" s="5"/>
      <c r="C362" s="5"/>
      <c r="D362" s="5"/>
    </row>
    <row r="363" spans="1:4">
      <c r="A363" s="5"/>
      <c r="B363" s="5"/>
      <c r="C363" s="5"/>
      <c r="D363" s="5"/>
    </row>
    <row r="364" spans="1:4">
      <c r="A364" s="5"/>
      <c r="B364" s="5"/>
      <c r="C364" s="5"/>
      <c r="D364" s="5"/>
    </row>
    <row r="365" spans="1:4">
      <c r="A365" s="5"/>
      <c r="B365" s="5"/>
      <c r="C365" s="5"/>
      <c r="D365" s="5"/>
    </row>
    <row r="366" spans="1:4">
      <c r="A366" s="5"/>
      <c r="B366" s="5"/>
      <c r="C366" s="5"/>
      <c r="D366" s="5"/>
    </row>
    <row r="367" spans="1:4">
      <c r="A367" s="5"/>
      <c r="B367" s="5"/>
      <c r="C367" s="5"/>
      <c r="D367" s="5"/>
    </row>
    <row r="368" spans="1:4">
      <c r="A368" s="5"/>
      <c r="B368" s="5"/>
      <c r="C368" s="5"/>
      <c r="D368" s="5"/>
    </row>
    <row r="369" spans="1:4">
      <c r="A369" s="5"/>
      <c r="B369" s="5"/>
      <c r="C369" s="5"/>
      <c r="D369" s="5"/>
    </row>
    <row r="370" spans="1:4">
      <c r="A370" s="5"/>
      <c r="B370" s="5"/>
      <c r="C370" s="5"/>
      <c r="D370" s="5"/>
    </row>
    <row r="371" spans="1:4">
      <c r="A371" s="5"/>
      <c r="B371" s="5"/>
      <c r="C371" s="5"/>
      <c r="D371" s="5"/>
    </row>
    <row r="372" spans="1:4">
      <c r="A372" s="5"/>
      <c r="B372" s="5"/>
      <c r="C372" s="5"/>
      <c r="D372" s="5"/>
    </row>
    <row r="373" spans="1:4">
      <c r="A373" s="5"/>
      <c r="B373" s="5"/>
      <c r="C373" s="5"/>
      <c r="D373" s="5"/>
    </row>
    <row r="374" spans="1:4">
      <c r="A374" s="5"/>
      <c r="B374" s="5"/>
      <c r="C374" s="5"/>
      <c r="D374" s="5"/>
    </row>
    <row r="375" spans="1:4">
      <c r="A375" s="5"/>
      <c r="B375" s="5"/>
      <c r="C375" s="5"/>
      <c r="D375" s="5"/>
    </row>
    <row r="376" spans="1:4">
      <c r="A376" s="5"/>
      <c r="B376" s="5"/>
      <c r="C376" s="5"/>
      <c r="D376" s="5"/>
    </row>
    <row r="377" spans="1:4">
      <c r="A377" s="5"/>
      <c r="B377" s="5"/>
      <c r="C377" s="5"/>
      <c r="D377" s="5"/>
    </row>
    <row r="378" spans="1:4">
      <c r="A378" s="5"/>
      <c r="B378" s="5"/>
      <c r="C378" s="5"/>
      <c r="D378" s="5"/>
    </row>
    <row r="379" spans="1:4">
      <c r="A379" s="5"/>
      <c r="B379" s="5"/>
      <c r="C379" s="5"/>
      <c r="D379" s="5"/>
    </row>
    <row r="380" spans="1:4">
      <c r="A380" s="5"/>
      <c r="B380" s="5"/>
      <c r="C380" s="5"/>
      <c r="D380" s="5"/>
    </row>
    <row r="381" spans="1:4">
      <c r="A381" s="5"/>
      <c r="B381" s="5"/>
      <c r="C381" s="5"/>
      <c r="D381" s="5"/>
    </row>
    <row r="382" spans="1:4">
      <c r="A382" s="5"/>
      <c r="B382" s="5"/>
      <c r="C382" s="5"/>
      <c r="D382" s="5"/>
    </row>
    <row r="383" spans="1:4">
      <c r="A383" s="5"/>
      <c r="B383" s="5"/>
      <c r="C383" s="5"/>
      <c r="D383" s="5"/>
    </row>
    <row r="384" spans="1:4">
      <c r="A384" s="5"/>
      <c r="B384" s="5"/>
      <c r="C384" s="5"/>
      <c r="D384" s="5"/>
    </row>
    <row r="385" spans="1:4">
      <c r="A385" s="5"/>
      <c r="B385" s="5"/>
      <c r="C385" s="5"/>
      <c r="D385" s="5"/>
    </row>
    <row r="386" spans="1:4">
      <c r="A386" s="5"/>
      <c r="B386" s="5"/>
      <c r="C386" s="5"/>
      <c r="D386" s="5"/>
    </row>
    <row r="387" spans="1:4">
      <c r="A387" s="5"/>
      <c r="B387" s="5"/>
      <c r="C387" s="5"/>
      <c r="D387" s="5"/>
    </row>
    <row r="388" spans="1:4">
      <c r="A388" s="5"/>
      <c r="B388" s="5"/>
      <c r="C388" s="5"/>
      <c r="D388" s="5"/>
    </row>
    <row r="389" spans="1:4">
      <c r="A389" s="5"/>
      <c r="B389" s="5"/>
      <c r="C389" s="5"/>
      <c r="D389" s="5"/>
    </row>
    <row r="390" spans="1:4">
      <c r="A390" s="5"/>
      <c r="B390" s="5"/>
      <c r="C390" s="5"/>
      <c r="D390" s="5"/>
    </row>
    <row r="391" spans="1:4">
      <c r="A391" s="5"/>
      <c r="B391" s="5"/>
      <c r="C391" s="5"/>
      <c r="D391" s="5"/>
    </row>
    <row r="392" spans="1:4">
      <c r="A392" s="5"/>
      <c r="B392" s="5"/>
      <c r="C392" s="5"/>
      <c r="D392" s="5"/>
    </row>
    <row r="393" spans="1:4">
      <c r="A393" s="5"/>
      <c r="B393" s="5"/>
      <c r="C393" s="5"/>
      <c r="D393" s="5"/>
    </row>
    <row r="394" spans="1:4">
      <c r="A394" s="5"/>
      <c r="B394" s="5"/>
      <c r="C394" s="5"/>
      <c r="D394" s="5"/>
    </row>
    <row r="395" spans="1:4">
      <c r="A395" s="5"/>
      <c r="B395" s="5"/>
      <c r="C395" s="5"/>
      <c r="D395" s="5"/>
    </row>
    <row r="396" spans="1:4">
      <c r="A396" s="5"/>
      <c r="B396" s="5"/>
      <c r="C396" s="5"/>
      <c r="D396" s="5"/>
    </row>
    <row r="397" spans="1:4">
      <c r="A397" s="5"/>
      <c r="B397" s="5"/>
      <c r="C397" s="5"/>
      <c r="D397" s="5"/>
    </row>
    <row r="398" spans="1:4">
      <c r="A398" s="5"/>
      <c r="B398" s="5"/>
      <c r="C398" s="5"/>
      <c r="D398" s="5"/>
    </row>
    <row r="399" spans="1:4">
      <c r="A399" s="5"/>
      <c r="B399" s="5"/>
      <c r="C399" s="5"/>
      <c r="D399" s="5"/>
    </row>
    <row r="400" spans="1:4">
      <c r="A400" s="5"/>
      <c r="B400" s="5"/>
      <c r="C400" s="5"/>
      <c r="D400" s="5"/>
    </row>
    <row r="401" spans="1:10">
      <c r="A401" s="5"/>
      <c r="B401" s="5"/>
      <c r="C401" s="5"/>
      <c r="D401" s="5"/>
    </row>
    <row r="402" spans="1:10">
      <c r="A402" s="5"/>
      <c r="B402" s="5"/>
      <c r="C402" s="5"/>
      <c r="D402" s="5"/>
    </row>
    <row r="403" spans="1:10">
      <c r="A403" s="5"/>
      <c r="B403" s="5"/>
      <c r="C403" s="5"/>
      <c r="D403" s="5"/>
    </row>
    <row r="404" spans="1:10">
      <c r="A404" s="5"/>
      <c r="B404" s="5"/>
      <c r="C404" s="5"/>
      <c r="D404" s="5"/>
    </row>
    <row r="405" spans="1:10">
      <c r="A405" s="5"/>
      <c r="B405" s="5"/>
      <c r="C405" s="5"/>
      <c r="D405" s="5"/>
    </row>
    <row r="406" spans="1:10">
      <c r="A406" s="5"/>
      <c r="B406" s="5"/>
      <c r="C406" s="5"/>
      <c r="D406" s="5"/>
    </row>
    <row r="412" spans="1:10">
      <c r="G412" s="2"/>
      <c r="H412" s="2"/>
      <c r="I412" s="3"/>
      <c r="J412" s="2"/>
    </row>
  </sheetData>
  <sortState ref="A20:E331">
    <sortCondition descending="1" ref="C20:C331"/>
  </sortState>
  <mergeCells count="2">
    <mergeCell ref="A17:D17"/>
    <mergeCell ref="J23:K23"/>
  </mergeCells>
  <pageMargins left="0.7" right="0.7" top="0.75" bottom="0.75" header="0.3" footer="0.3"/>
  <pageSetup paperSize="9" orientation="portrait" r:id="rId1"/>
  <legacy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item1.xml><?xml version="1.0" encoding="utf-8"?>
<versions xmlns="http://schemas.microsoft.com/SolverFoundationForExcel/Version">
  <addinversion>3.1</addinversion>
</versions>
</file>

<file path=customXml/item2.xml>��     
</file>

<file path=customXml/itemProps1.xml><?xml version="1.0" encoding="utf-8"?>
<ds:datastoreItem xmlns:ds="http://schemas.openxmlformats.org/officeDocument/2006/customXml" ds:itemID="{D3CA924D-8E85-4367-8982-619991207898}">
  <ds:schemaRefs>
    <ds:schemaRef ds:uri="http://schemas.microsoft.com/SolverFoundationForExcel/Version"/>
  </ds:schemaRefs>
</ds:datastoreItem>
</file>

<file path=customXml/itemProps2.xml><?xml version="1.0" encoding="utf-8"?>
<ds:datastoreItem xmlns:ds="http://schemas.openxmlformats.org/officeDocument/2006/customXml" ds:itemID="{22F6425B-9DA1-4784-96E9-238A1A72CCC1}">
  <ds:schemaRefs>
    <ds:schemaRef ds:uri="http://schemas.microsoft.com/SolverFoundation/"/>
    <ds:schemaRef ds:uri="http://www.w3.org/2001/XMLSchema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Ordered by Points Scored</vt:lpstr>
      <vt:lpstr>Ordered by Value</vt:lpstr>
      <vt:lpstr>Ordered by Popularity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iain.mcdonald</dc:creator>
  <cp:lastModifiedBy>Iain</cp:lastModifiedBy>
  <dcterms:created xsi:type="dcterms:W3CDTF">2010-08-11T14:41:56Z</dcterms:created>
  <dcterms:modified xsi:type="dcterms:W3CDTF">2013-07-29T20:36:40Z</dcterms:modified>
</cp:coreProperties>
</file>